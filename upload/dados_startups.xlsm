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EstaPastaDeTrabalho" hidePivotFieldList="1" defaultThemeVersion="166925"/>
  <mc:AlternateContent xmlns:mc="http://schemas.openxmlformats.org/markup-compatibility/2006">
    <mc:Choice Requires="x15">
      <x15ac:absPath xmlns:x15ac="http://schemas.microsoft.com/office/spreadsheetml/2010/11/ac" url="C:\Users\patri\Downloads\"/>
    </mc:Choice>
  </mc:AlternateContent>
  <xr:revisionPtr revIDLastSave="0" documentId="13_ncr:1_{5E47EF3E-5388-4A05-9F8C-22829523380B}" xr6:coauthVersionLast="47" xr6:coauthVersionMax="47" xr10:uidLastSave="{00000000-0000-0000-0000-000000000000}"/>
  <bookViews>
    <workbookView xWindow="-120" yWindow="-120" windowWidth="29040" windowHeight="15840" xr2:uid="{00000000-000D-0000-FFFF-FFFF00000000}"/>
  </bookViews>
  <sheets>
    <sheet name="Startups" sheetId="26" r:id="rId1"/>
    <sheet name="KPIs" sheetId="23" r:id="rId2"/>
  </sheets>
  <externalReferences>
    <externalReference r:id="rId3"/>
  </externalReferences>
  <definedNames>
    <definedName name="_xlnm._FilterDatabase" localSheetId="1" hidden="1">KPIs!$A$2:$BK$36</definedName>
    <definedName name="myResult" localSheetId="1">EVALUATE('[1]Apoio-Metadados'!$B$6)</definedName>
    <definedName name="myResult">EVALUATE(#REF!)</definedName>
    <definedName name="myResult2">EVALUATE('[1]Apoio-Metadados'!$B$6)</definedName>
    <definedName name="wilson">#REF!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35" i="23" l="1"/>
  <c r="O35" i="23"/>
  <c r="P35" i="23"/>
  <c r="Q35" i="23"/>
  <c r="R35" i="23"/>
  <c r="S35" i="23"/>
  <c r="T35" i="23"/>
  <c r="U35" i="23"/>
  <c r="V35" i="23"/>
  <c r="W35" i="23"/>
  <c r="X35" i="23"/>
  <c r="Y35" i="23"/>
  <c r="Z35" i="23"/>
  <c r="AA35" i="23"/>
  <c r="AB35" i="23"/>
  <c r="AC35" i="23"/>
  <c r="AD35" i="23"/>
  <c r="AE35" i="23"/>
  <c r="AF35" i="23"/>
  <c r="AG35" i="23"/>
  <c r="AH35" i="23"/>
  <c r="AI35" i="23"/>
  <c r="AJ35" i="23"/>
  <c r="M35" i="23"/>
  <c r="AM36" i="23"/>
  <c r="AN36" i="23"/>
  <c r="AO36" i="23"/>
  <c r="AP36" i="23"/>
  <c r="AQ36" i="23"/>
  <c r="AR36" i="23"/>
  <c r="AS36" i="23"/>
  <c r="AT36" i="23"/>
  <c r="AU36" i="23"/>
  <c r="AV36" i="23"/>
  <c r="AW36" i="23"/>
  <c r="AX36" i="23"/>
  <c r="AY36" i="23"/>
  <c r="AZ36" i="23"/>
  <c r="BA36" i="23"/>
  <c r="BB36" i="23"/>
  <c r="BC36" i="23"/>
  <c r="BD36" i="23"/>
  <c r="BE36" i="23"/>
  <c r="BF36" i="23"/>
  <c r="BG36" i="23"/>
  <c r="BH36" i="23"/>
  <c r="BI36" i="23"/>
  <c r="AL36" i="23"/>
  <c r="AM35" i="23" l="1"/>
  <c r="AN35" i="23"/>
  <c r="AO35" i="23"/>
  <c r="AP35" i="23"/>
  <c r="AQ35" i="23"/>
  <c r="AR35" i="23"/>
  <c r="AS35" i="23"/>
  <c r="AT35" i="23"/>
  <c r="AU35" i="23"/>
  <c r="AV35" i="23"/>
  <c r="AW35" i="23"/>
  <c r="AX35" i="23"/>
  <c r="AY35" i="23"/>
  <c r="AZ35" i="23"/>
  <c r="BA35" i="23"/>
  <c r="BB35" i="23"/>
  <c r="BC35" i="23"/>
  <c r="BD35" i="23"/>
  <c r="BE35" i="23"/>
  <c r="BF35" i="23"/>
  <c r="BG35" i="23"/>
  <c r="BH35" i="23"/>
  <c r="BI35" i="23"/>
  <c r="AL35" i="23"/>
  <c r="B1" i="23"/>
  <c r="BM33" i="23"/>
  <c r="A33" i="23" s="1"/>
  <c r="BM31" i="23"/>
  <c r="A31" i="23" s="1"/>
  <c r="BM29" i="23"/>
  <c r="A29" i="23" s="1"/>
  <c r="BM27" i="23"/>
  <c r="A27" i="23" s="1"/>
  <c r="BM25" i="23"/>
  <c r="BM26" i="23" s="1"/>
  <c r="A26" i="23" s="1"/>
  <c r="BM23" i="23"/>
  <c r="BM24" i="23" s="1"/>
  <c r="A24" i="23" s="1"/>
  <c r="A23" i="23"/>
  <c r="BM21" i="23"/>
  <c r="A21" i="23" s="1"/>
  <c r="BM19" i="23"/>
  <c r="A19" i="23" s="1"/>
  <c r="BM17" i="23"/>
  <c r="A17" i="23" s="1"/>
  <c r="BM15" i="23"/>
  <c r="A15" i="23" s="1"/>
  <c r="BM13" i="23"/>
  <c r="A13" i="23" s="1"/>
  <c r="BM11" i="23"/>
  <c r="BM12" i="23" s="1"/>
  <c r="A12" i="23" s="1"/>
  <c r="BM9" i="23"/>
  <c r="A9" i="23" s="1"/>
  <c r="BM7" i="23"/>
  <c r="A7" i="23" s="1"/>
  <c r="BM5" i="23"/>
  <c r="BM6" i="23" s="1"/>
  <c r="A6" i="23" s="1"/>
  <c r="BM3" i="23"/>
  <c r="BM4" i="23" s="1"/>
  <c r="A4" i="23" s="1"/>
  <c r="BJ35" i="23" l="1"/>
  <c r="BJ36" i="23"/>
  <c r="AK36" i="23"/>
  <c r="AK35" i="23"/>
  <c r="BM22" i="23"/>
  <c r="A22" i="23" s="1"/>
  <c r="BM16" i="23"/>
  <c r="A16" i="23" s="1"/>
  <c r="BM18" i="23"/>
  <c r="A18" i="23" s="1"/>
  <c r="BM20" i="23"/>
  <c r="A20" i="23" s="1"/>
  <c r="AK34" i="23"/>
  <c r="BJ18" i="23"/>
  <c r="BJ34" i="23"/>
  <c r="AK18" i="23"/>
  <c r="AK22" i="23"/>
  <c r="AK6" i="23"/>
  <c r="BJ22" i="23"/>
  <c r="BJ6" i="23"/>
  <c r="AK26" i="23"/>
  <c r="AK10" i="23"/>
  <c r="BJ26" i="23"/>
  <c r="BJ10" i="23"/>
  <c r="AK30" i="23"/>
  <c r="AK14" i="23"/>
  <c r="BJ30" i="23"/>
  <c r="BJ14" i="23"/>
  <c r="AK33" i="23"/>
  <c r="AK21" i="23"/>
  <c r="AK13" i="23"/>
  <c r="AK5" i="23"/>
  <c r="BJ29" i="23"/>
  <c r="BJ21" i="23"/>
  <c r="BJ13" i="23"/>
  <c r="AK32" i="23"/>
  <c r="AK28" i="23"/>
  <c r="AK24" i="23"/>
  <c r="AK20" i="23"/>
  <c r="AK16" i="23"/>
  <c r="AK12" i="23"/>
  <c r="AK8" i="23"/>
  <c r="AK4" i="23"/>
  <c r="BJ32" i="23"/>
  <c r="BJ28" i="23"/>
  <c r="BJ24" i="23"/>
  <c r="BJ20" i="23"/>
  <c r="BJ16" i="23"/>
  <c r="BJ12" i="23"/>
  <c r="BJ8" i="23"/>
  <c r="BJ4" i="23"/>
  <c r="AK29" i="23"/>
  <c r="AK17" i="23"/>
  <c r="AK9" i="23"/>
  <c r="BJ33" i="23"/>
  <c r="BJ25" i="23"/>
  <c r="BJ17" i="23"/>
  <c r="BJ9" i="23"/>
  <c r="BJ5" i="23"/>
  <c r="AK3" i="23"/>
  <c r="AK31" i="23"/>
  <c r="AK27" i="23"/>
  <c r="AK23" i="23"/>
  <c r="AK19" i="23"/>
  <c r="AK15" i="23"/>
  <c r="AK11" i="23"/>
  <c r="AK7" i="23"/>
  <c r="BJ3" i="23"/>
  <c r="BJ31" i="23"/>
  <c r="BJ27" i="23"/>
  <c r="BJ23" i="23"/>
  <c r="BJ19" i="23"/>
  <c r="BJ15" i="23"/>
  <c r="BJ11" i="23"/>
  <c r="BJ7" i="23"/>
  <c r="A3" i="23"/>
  <c r="A11" i="23"/>
  <c r="BM30" i="23"/>
  <c r="A30" i="23" s="1"/>
  <c r="BM34" i="23"/>
  <c r="A34" i="23" s="1"/>
  <c r="A5" i="23"/>
  <c r="BM8" i="23"/>
  <c r="A8" i="23" s="1"/>
  <c r="BM28" i="23"/>
  <c r="A28" i="23" s="1"/>
  <c r="BM32" i="23"/>
  <c r="A32" i="23" s="1"/>
  <c r="BM14" i="23"/>
  <c r="A14" i="23" s="1"/>
  <c r="BM10" i="23"/>
  <c r="A10" i="23" s="1"/>
  <c r="A25" i="23"/>
  <c r="BK35" i="23" l="1"/>
  <c r="BK36" i="23"/>
  <c r="BK28" i="23"/>
  <c r="BK4" i="23"/>
  <c r="BK8" i="23"/>
  <c r="BK32" i="23"/>
  <c r="BK12" i="23"/>
  <c r="BK7" i="23"/>
  <c r="BK15" i="23"/>
  <c r="BK23" i="23"/>
  <c r="BK31" i="23"/>
  <c r="BK9" i="23"/>
  <c r="BK25" i="23"/>
  <c r="BK33" i="23"/>
  <c r="BK10" i="23"/>
  <c r="BK18" i="23"/>
  <c r="BK26" i="23"/>
  <c r="BK34" i="23"/>
  <c r="BK17" i="23"/>
  <c r="BK24" i="23"/>
  <c r="BK6" i="23"/>
  <c r="BK3" i="23"/>
  <c r="BK11" i="23"/>
  <c r="BK19" i="23"/>
  <c r="BK27" i="23"/>
  <c r="BK20" i="23"/>
  <c r="BK16" i="23"/>
  <c r="BK5" i="23"/>
  <c r="BK13" i="23"/>
  <c r="BK21" i="23"/>
  <c r="BK29" i="23"/>
  <c r="BK14" i="23"/>
  <c r="BK22" i="23"/>
  <c r="BK30"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tc={EFE76E59-F899-4542-8E84-5A08D39BCB6A}</author>
    <author>tc={CE67CE48-8ACB-4734-875E-356EEC8ED543}</author>
  </authors>
  <commentList>
    <comment ref="H2" authorId="0" shapeId="0" xr:uid="{EFE76E59-F899-4542-8E84-5A08D39BCB6A}">
      <text>
        <r>
          <rPr>
            <sz val="12"/>
            <color theme="1"/>
            <rFont val="Calibri"/>
            <family val="2"/>
            <scheme val="minor"/>
          </rPr>
          <t>[Comentário encadeado]
Sua versão do Excel permite que você leia este comentário encadeado, no entanto, as edições serão removidas se o arquivo for aberto em uma versão mais recente do Excel. Saiba mais: https://go.microsoft.com/fwlink/?linkid=870924
Comentário:
    O valor base é o valor inicial do Key Result obtido no início do ciclo de OKR.</t>
        </r>
      </text>
    </comment>
    <comment ref="J2" authorId="1" shapeId="0" xr:uid="{CE67CE48-8ACB-4734-875E-356EEC8ED543}">
      <text>
        <r>
          <rPr>
            <sz val="12"/>
            <color theme="1"/>
            <rFont val="Calibri"/>
            <family val="2"/>
            <scheme val="minor"/>
          </rPr>
          <t>[Comentário encadeado]
Sua versão do Excel permite que você leia este comentário encadeado, no entanto, as edições serão removidas se o arquivo for aberto em uma versão mais recente do Excel. Saiba mais: https://go.microsoft.com/fwlink/?linkid=870924
Comentário:
    Este é o valor da meta a ser atingida até o fim do ciclo de OKR.</t>
        </r>
      </text>
    </comment>
  </commentList>
</comments>
</file>

<file path=xl/sharedStrings.xml><?xml version="1.0" encoding="utf-8"?>
<sst xmlns="http://schemas.openxmlformats.org/spreadsheetml/2006/main" count="798" uniqueCount="390">
  <si>
    <t>Implantação da LGPD e controles de SI na APF</t>
  </si>
  <si>
    <t>ME/SEDGGD</t>
  </si>
  <si>
    <t>Execução do projeto</t>
  </si>
  <si>
    <t>Entregas realizadas no prazo</t>
  </si>
  <si>
    <t>Pontos de Atenção</t>
  </si>
  <si>
    <t>Relato</t>
  </si>
  <si>
    <t>Transformação digital da Gestão de Pessoas (Sou gov.br)</t>
  </si>
  <si>
    <t>gov.br 360</t>
  </si>
  <si>
    <t>INSS em Números</t>
  </si>
  <si>
    <t>ME/INSS</t>
  </si>
  <si>
    <t>Segurança da informação no INSS</t>
  </si>
  <si>
    <t>Jornada Estudantil</t>
  </si>
  <si>
    <t>MEC</t>
  </si>
  <si>
    <t>Recuperação de Créditos Não Tributários  (Recupera Gov)</t>
  </si>
  <si>
    <t>Cadastro Ambiental Rural Dinâmico (CAR Dinâmico)</t>
  </si>
  <si>
    <t>Documento Eletrônico de Transporte - DT-e</t>
  </si>
  <si>
    <t>Porto sem Papel 2.0</t>
  </si>
  <si>
    <t>Meta</t>
  </si>
  <si>
    <t>Realizado</t>
  </si>
  <si>
    <t>Orgão</t>
  </si>
  <si>
    <t>Sigla Orgão</t>
  </si>
  <si>
    <t>Nome do projeto</t>
  </si>
  <si>
    <t>Escopo do Projeto</t>
  </si>
  <si>
    <t>Números do Projeto</t>
  </si>
  <si>
    <t>Recomendação de Implantação</t>
  </si>
  <si>
    <t>Motivo Recomendação</t>
  </si>
  <si>
    <t>Status do Projeto</t>
  </si>
  <si>
    <t>Fase</t>
  </si>
  <si>
    <t>Substituto</t>
  </si>
  <si>
    <t>Líder no Órgão</t>
  </si>
  <si>
    <t>Líder do SQUAD</t>
  </si>
  <si>
    <t>Gestão</t>
  </si>
  <si>
    <t>Equipe SGD</t>
  </si>
  <si>
    <t>Temporários</t>
  </si>
  <si>
    <t>Pessoas Alocadas</t>
  </si>
  <si>
    <t>Nível de Risco</t>
  </si>
  <si>
    <t>Processo SEI</t>
  </si>
  <si>
    <t>Auxiliar as instituições públicas no processo de adequação ao preconizado pela Lei Geral de Proteção de Dados - LGPD e aprimorar a segurança das plataformas de governo digital e de missão crítica.</t>
  </si>
  <si>
    <t>5-Execução</t>
  </si>
  <si>
    <t>Loriza Melo</t>
  </si>
  <si>
    <t>Luis Felipe Salin Monteiro</t>
  </si>
  <si>
    <t>Mauro Cesar Sobrinho</t>
  </si>
  <si>
    <t>Baixo</t>
  </si>
  <si>
    <t>Construção de uma nova Interface digital para disponibilização dos serviços relacionados à vida funcional e à concessão de direitos que faz juz no pós trabalho os servidores ativos, inativos e beneficiários de pensão da Administração Pública Federal, melhorando o relacionamento, tempestividade e qualidade das entregas feitas a estes usuários.</t>
  </si>
  <si>
    <t xml:space="preserve">	
Rafael Cunha Alves Moreira</t>
  </si>
  <si>
    <t>Mayara Nascimento de Andrade</t>
  </si>
  <si>
    <t xml:space="preserve">Construção de um sistema de recomendação de serviços e informações de maneira personalizada aos usuários do portal, com base em perfis individuais e jornadas do usuário. </t>
  </si>
  <si>
    <t>Felipe Cruz</t>
  </si>
  <si>
    <t>Joelson Vellozo Junior</t>
  </si>
  <si>
    <t>Médio</t>
  </si>
  <si>
    <t>Identidade digital</t>
  </si>
  <si>
    <t>Implantar e promover casos de uso da Identidade Digital.</t>
  </si>
  <si>
    <t>Hudson Mesquita</t>
  </si>
  <si>
    <t>Luiz Carlos Miyadaira Ribeiro</t>
  </si>
  <si>
    <t>35 (28 SGD e 7 ITI)</t>
  </si>
  <si>
    <t>INSS em números</t>
  </si>
  <si>
    <t>Implantação de painel de indicadores utilizando solução de Business Intelligence (BI) visando à qualificação dos processos de tomada de decisão e de monitoramento do desempenho do INSS e à garantia da transparência dos resultados dos programas, projetos e serviços conduzidos pela entidade. </t>
  </si>
  <si>
    <t>4.1 - Assinatura do ACT</t>
  </si>
  <si>
    <t xml:space="preserve">Lorena Fonseca de Medeiros Ferreira </t>
  </si>
  <si>
    <t>Tiago Moronte</t>
  </si>
  <si>
    <t>Robustecer a segurança da informação no INSS, compreendendo o aumento da disponibilidade dos serviços críticos, a implementação do segundo fator de autenticação nos acessos aos sistemas críticos e o aperfeiçoamento dos ciclos de gestão de acesso dos usuários através da integração de bases.</t>
  </si>
  <si>
    <t xml:space="preserve">9000 usuários com perfis críticos, 30 mil usuários com acesso a sistemas, 07 aplicações de missão crítica, Média mensal de incidentes e chamados – 1000, + de 8000 recursos de TI  a serem monitorados, 1600 Agências da Previdência Social 
</t>
  </si>
  <si>
    <t>Marco Fragoso Claudio Ferraz</t>
  </si>
  <si>
    <t>Flaviana de Oliveira Azevedo</t>
  </si>
  <si>
    <t>1) ACT assinado
2) Aprovada a nomeação na Casa Civil, publicação da descentralizaçao prevista para 31/05; Nomeação em sequencia;
2) 2FA:
Etapas Concluidas: 
- Adaptação dos robôs para não passarem pelo recaptcha- Reunião de alinhamento com AGU e DIRAT - Configurações nos robôs realizadas com sucesso;
- Entrega de manual e reuniões de alinhamento para replicação das configurações do Proxy para as maquinas da Central 135;
- Ajustes no material de apoio do INSS e comunicação das urls corretas;
Data de implementação do 2FA no Consigweb: 10/06/21
- 28/05 - Apresentação tecnica para o Comite de Governanca para definição das novas apps que serão alvo do 2FA;
3) Monitoramento:
- Desenho da primeira versão de nova arquitetura da estrutura de monitoramento;
-Levantamento das caracteristicas e quantidades de falhas nos ambientes;
- Desenho das iniciativas de correção de configuração do ambiente.
4)Substituição da estrutura de conectividade dos pontos de acesso da rede do INSS ( Links) : Projeto foi cancelado no âmbito do Squad. Diretoria informa que nao consegue controlar os prazos do projeto e foi solicitado novas alterações nos requisitos tecnicos no processo.
6) CDI - Sanitização de Bases - Validando cronograma do desenvolvimento pela Dataprev.
7) Indicadores de Impacto: Recebemos os relatorios e estamos avaliando como adaptar para a realidade do 2FA e na construção de um indicador de impacto; 
"</t>
  </si>
  <si>
    <t>MCIDADANIA</t>
  </si>
  <si>
    <t>Novo Cadastro único para programas sociais (CadÚnico)</t>
  </si>
  <si>
    <t xml:space="preserve">Reformulação do Cadastro único do Ministério da Cidadania, com foco em: criar um aplicativo/interface para otimização do processo de cadastramento/atualização; digitizar, modernizar e promover a desintermediação do processo; reduzir custos com a transferência de renda; desenvolver interfaces de interoperabilidade de dados governamentais; ser a interface centralizada e integrada entre todos os programas sociais. </t>
  </si>
  <si>
    <t>3-Diagnóstico</t>
  </si>
  <si>
    <t>3.2 - Definição de Escopo</t>
  </si>
  <si>
    <t>Américo Rodrigues</t>
  </si>
  <si>
    <t>Oto Buregio Lima</t>
  </si>
  <si>
    <t>Dataprev entregou proposta do projeto mas com um planejamento mais abrangente do que o escopo atual planejado pelo Ministério. O Projeto envolveria a internalização na dataprev e processamento do programas asssitencias com início de entregas a partir de dezembro. 
Estão acontecendo conversas mais técnicas com a Dataprev para alinhar aspectos técnicos do projeto</t>
  </si>
  <si>
    <t xml:space="preserve">Desenvolvimento de soluções tecnológicas e inteligentes, aplicando o conhecimento das áreas da educação, desde o ensino ensino superior, para definição da jornada do estudante, que incluirá: a Identificação Nacional Digital Estudantil; integração e compartilhamento de dados entre os órgãos e instituições de ensino público; integração com serviços e informações da nova plataforma de aprendizagem personalizada provida pelo MEC e outros.
</t>
  </si>
  <si>
    <t xml:space="preserve">183 mil de instituições de ensino e 58 milhões de estudantes
Para Startup
Educação Básica
Secretaria de Educação do Paraná
8.988 instituições de ensino
Secretaria de Educação do MS
1.634 instituições de ensino
Secretaria de Educação do RS
9.399 instituições de ensino
Secretaria de Educação de SP
15.115 instituições de ensino
Ensino Superior
UFT, UFRN, UFMS, UTFPR, UFMG (5 em 69 IE e IF)
</t>
  </si>
  <si>
    <t>4.2 - Inclusão do Projeto no PTD</t>
  </si>
  <si>
    <t>Ana Brugger</t>
  </si>
  <si>
    <t>Eduardo Pires Fernandes</t>
  </si>
  <si>
    <t>Thaciana Cerqueira</t>
  </si>
  <si>
    <t xml:space="preserve">ACT assinado e publicado.
25/05/2021 - Realização oficina, definição do escopo.
26/05/2021 - Alinhamento da Startup para definição de estratégias, com vistas a viabilização do desenvolvimento do escopo.
26/05/2021 - Definição, em reunião com o subsecretário André: (i) a necessidade de elaboração de quatro acordos de cooperação técnica (UTFPR, UFMS, Secretarias de estado do Mato Grosso e Paraná); (ii) definição da infraestrutura do projeto independemente da plataforma de interoperabilidade Rede Aprender.
27/05/2021 - Realização da oficina para elaboração do Canvas
</t>
  </si>
  <si>
    <t>Desenvolvimento de solução centralizada que permita a gestão da arrecadação e a cobrança de R$ 40 bilhões de créditos das autarquias e fundações públicas federais em sua fase administrativa de constituição, nos termos do Decreto n° 9.194, de 2017.</t>
  </si>
  <si>
    <t xml:space="preserve">Mais de  R$34 bilhões em cobranças junto à PGF em 2016
Mais de R$680 milhões em apenas uma rubrica do INSS entre 2018 e 2020
Recuperação de apenas 18% desse montante no mesmo período
</t>
  </si>
  <si>
    <t>Fernando Mascarenhas</t>
  </si>
  <si>
    <t>Marco Fragoso</t>
  </si>
  <si>
    <t>"ACT assinado e publicado
- 24/05 - Implantação da metodologia ágil para a entrega 1 (planejamento da 1ª Sprint);
- 25/05 - Ponto de ctl com a DTI/INSS e com a equipe do squad; Participação na capacitação LaboraGov (Storytelling e Pitch);
- 26/06 - Alinhamento para atuação de especialista de UX no projeto; agenda com a Anatel e INSS sobre o ARCO;
- 27 e 28/06 - Estruturação de apresentação das estratégias; validação inicial com a DTI/INSS."</t>
  </si>
  <si>
    <t>MAPA</t>
  </si>
  <si>
    <t>Implementação e evolução da análise dinamizada dos cadastros autodeclarados no âmbito do SICAR em todas UFs até 2022.</t>
  </si>
  <si>
    <t>Joao Adrien</t>
  </si>
  <si>
    <t>Alto</t>
  </si>
  <si>
    <t>Autocontrole em Defesa Agropecuária</t>
  </si>
  <si>
    <t>Criação de plataforma informatizada que otimizará a fiscalização de qualidade e conformidade dos produtos agropecuários à partir do monitoramento automatizado de informações digitais oriundas do autocontrole laboratorial e fabril prestadas pelo produtor.​</t>
  </si>
  <si>
    <t>3.4 - Elaboração do ACT e Plano de Trabalho</t>
  </si>
  <si>
    <t>Rafael Borges</t>
  </si>
  <si>
    <t>Walid Ghazale</t>
  </si>
  <si>
    <t>MINFRA</t>
  </si>
  <si>
    <t>O projeto compreende a integração entre o Sistema Porto Sem Papel - PSP e os sistemas relacionados ao comércio exterior que tenham relação com os portos brasileiros, principalmente os sistemas Siscomex e Mercante do Portal Único de Comércio Exterior, de forma a oferecer aos usuários o contato com o governo por meio de uma única janela aquaviária. O projeto está dividido nas seguintes fases: - Unificação do login dos sistemas Porto Sem Papel e PUCOMEX; - Unificação de cadastros redundantes; - Mapeamento TO-BE em conjunto dos fluxos do PSP e Controle de Carga e Trânsito - CCT Importação Aquaviário; - Desenvolvimento e implantação integrada do novo fluxo, dando origem ao PSP 2.0.</t>
  </si>
  <si>
    <t>Fernando André Coelho Mitkiewicz</t>
  </si>
  <si>
    <t>Petterson Breno Souza Costa</t>
  </si>
  <si>
    <t>1 - Reunião Executiva realizada dia 26/05
 -&gt; Foco no PSP 2.0 - projeto aprovado
2 - Aguarda processo ACT via SEI</t>
  </si>
  <si>
    <t>- Mapeamento das partes interessadas no SERPRO, Marinha e Receita Federal;
- Acesso ao ambiente computacional do MINFRA;
- Liberado o primeiro acesso ao ambiente computacional do SERPRO;
- Fechamento do acordo entre a SGD e o MINFRA, no sendido de dar andamento no Projeto Statup.br;</t>
  </si>
  <si>
    <t>Desenvolvimento e acompanhamento do sistema de informação responsável pela emissão do documento eletrônico de transporte, durante todas as suas etapas: planejamento e elaboração, construção e implantação.</t>
  </si>
  <si>
    <t>Gabriel Smidt Portella Valderrama</t>
  </si>
  <si>
    <t xml:space="preserve">1  - Publicação da Medida Provisória nº 1.051/2021 instituindo o DT-e
 -&gt;1° etapa da operação assistida inicia em 1°  julho.
</t>
  </si>
  <si>
    <t>- ACT assinado e publicado
- MP nº 1.051/2021 recebida no CN, prazos abertos para apreciação
- Revisão do manual técnico da Emissora
- Revisão do layout
- Levantamento de requisitos do InfraBR
- Elaboração de fluxos de processos'</t>
  </si>
  <si>
    <t>ME/SEDDM</t>
  </si>
  <si>
    <t>Destinação inteligente de imóveis da União</t>
  </si>
  <si>
    <t>Uma ferramenta de gestão feita sob medida para atender a atual necessidade dos gestores de contratos de cessão para acompanhar e controlar adequadamente esses instrumentos ao longo do seu ciclo de vida.</t>
  </si>
  <si>
    <t>Bruno Vilela e Helton Povoa</t>
  </si>
  <si>
    <t xml:space="preserve">Plataforma SPUnet - Sistema de Gestão Integrada dos Imóveis Públicos Federais </t>
  </si>
  <si>
    <t>Desenvolvimento de uma plataforma composta por um novo sistema de gestão de imóveis da União, portal de atendimento ao cidadão com todos os serviçosofertados pela SPU, aplicativo mobile para o cidadão acessar informações e serviços relativos aosimóveis da União que ele ocupa e aplicativo mobile para trabalhos de campo dos servidores da SPU, taiscomo ações de fiscalização e vistorias para avaliação.</t>
  </si>
  <si>
    <t>Imóveis dominiais: 655 mil os quais possuem valor estimado de mais de 200 bilhõesImóveis de uso especial: 53 mil com valor estimado em 920 bilhões e arrecadando 750 bilhões comtaxas de utilização.RFFSA: 25 mil contratos vigentes permitindo uma arrecadação de 265 milhões Arrecadação Total: 988 milhões.Orçamento da SPU gasto em 2020: 75 milhões. 
Com a substituição dos sistemas atuais mantidos pelo Serpro (SIAPA, SPIUnet e CIDI/SARP) pelo
SPUnet, prevê-se uma redução de aproximadamente R$ 6 milhões por ano com custos de manutenção desistemas.Mesmo  ainda  em  desenvolvimento,  a  parte  que  já  está  em  produção  do  SPUnet  já  possui  númerosexpressivos:Estão disponíveis 49 serviços, os quais já tiveram 206.719 requerimentos pelos cidadãos;Foram realizados 10411 parcelamentos de débitos patrimoniais com a União gerando uma receita de R$69.015.545,25 e expectativa (parcelas a vencer) de R$ 61.417.892,67</t>
  </si>
  <si>
    <t>média</t>
  </si>
  <si>
    <t>Foco amplo em processos internos</t>
  </si>
  <si>
    <t>1-Em espera</t>
  </si>
  <si>
    <t>1.2 - Enviado Sumário</t>
  </si>
  <si>
    <t>MS</t>
  </si>
  <si>
    <t xml:space="preserve">Prescrição Eletrônica e Dispensação de Medicamentos para a
Farmácia Popular 4.0 (Rede Nacional de Dados de Saúde - RNDS) </t>
  </si>
  <si>
    <t>Plataforma digital que propicie prescrição, dispensação, e geração de informações para controle de pagamento de medicamentos da FP 4.0, de modo a: permitir que registros de prescrições de medicamentos realizados por estabelecimentos de saúde da rede pública ou privada sejam compartilhados entre os diferentes locais de atendimento e estabelecimentos farmacêuticos para dispensação; e melhorar o acesso da população aos medicamentos e insumos estratégicos.</t>
  </si>
  <si>
    <t>Farmácia Popular em números: 31 mil estabelecimentos ativos; 4.392 municípios atendidos; 21 milhões de pacientes atendidos ao ano; 13 bilhões de unidades dispensadas por ano; 210 milhões pagos mensalmente ao Programa</t>
  </si>
  <si>
    <t>Alta</t>
  </si>
  <si>
    <t>2-Priorização Estratégica</t>
  </si>
  <si>
    <t>ANEEL</t>
  </si>
  <si>
    <t>Gestão da tarifa de energia</t>
  </si>
  <si>
    <t>Desenvolver/contratar um sistema para a gestão do processo tarifário de energia elétrica. </t>
  </si>
  <si>
    <t xml:space="preserve">86 milhões de unidades consumidoras impactadas
cerca de 10.154 usinas de geração,  
329 empresas de transmissão,
115 empresas de distribuição,
R$ 250 bilhões de volume financeiro anual   
</t>
  </si>
  <si>
    <t>Impacto Indireto a Sociedade</t>
  </si>
  <si>
    <t>Gestão de outorgas de energia</t>
  </si>
  <si>
    <t>Desenvolver/contratar um sistema de gestão as outorgas de energia elétrica. </t>
  </si>
  <si>
    <t>mais de 8 mil empresas impactadas
R$ 67 bilhões de investimentos sendo realizados
estimativa de investimentos de R$ 239 bilhões até 2029
13,7 GW de aumento da capacidade instalada em 2020
aumento no número de análises, que passaram de 745 em 2018, 1.629 em 2019 para 3.104 em 2020
tempo de análise atual pode levar até 110 dias
atualmente, backlog de 226 projetos de usinas aguardando análise. </t>
  </si>
  <si>
    <t>Impacto no setor de produção de energia renovável</t>
  </si>
  <si>
    <t>CVM</t>
  </si>
  <si>
    <t>PROJETO SANCIONADOR - CVM</t>
  </si>
  <si>
    <t>Visa mapear por completo todo o processo sancionador da CVM, desenvolvendo sistema (SSI - Sistema Sancionador Integrado) e ferramental para apoiar sua execução pelos servidores da casa.</t>
  </si>
  <si>
    <t>A CVM aplicou aproximadamente R$ 950 milhões em multas oriundas de processos sancionadores, bem como acordou aproximadamente R$ 50 milhões em Termos de Compromisso.
A CVM tramitou, em 2020, aproximadamente 850 processos sancionadores, que visam proteger e disciplinar o mercado de capitais brasileiro, que conta com aproximadamente 3.2 milhões de investidores.</t>
  </si>
  <si>
    <t>baixa</t>
  </si>
  <si>
    <t>Foco em processos internos</t>
  </si>
  <si>
    <t>Conformidade à LGPD - CVM</t>
  </si>
  <si>
    <t>Visa diagnosticar a conformidade à LGPD e implementar ações de controles de segurança da informação para as soluções de TI, processos, serviços, contratos e convênios da CVM:</t>
  </si>
  <si>
    <t>A CVM regula um mercado de cerca de 62 mil empresas participantes, que operam um volume de ativos estimado em R$ 35 trilhões(fonte: Boletim de Mercado CVM - JAN 2021).
As ações do projeto visam proteger dados de colaboradores dessas 62 mil empresas reguladas, de cerca de 3,2 milhões de investidores, e de cerca de 35 mil cidadãos atendidos anualmente pela CVM.</t>
  </si>
  <si>
    <t>Pode ser apoiado pelo projeto LGPD e sistemas TI</t>
  </si>
  <si>
    <t>ICMBio</t>
  </si>
  <si>
    <t>Elaboração do programa de governança em privacidade do ICMBio, com adaptação dos sistemas e serviços à LGPD e implementação de normas e diretrizes</t>
  </si>
  <si>
    <t xml:space="preserve">Desenvolvimento de um programa de governança em privacidade, pois até o momento os sistemas não foram adaptados para atender as exigências constantes da LGPD. </t>
  </si>
  <si>
    <t>O ICMBio possui atualmente 336 Unidades de Conservação, asUnidades  visitáveis  tiveram  em  2019  um  total  de  15.335.273(quinze  milhões,  trezentas  e  trinta  e  cinco  mil  e  duzentos  esetenta  e  três)  visitas,  tendo  em  vista  que  os  visitantes  fazemuso  dos  serviços  beneficiados  com  este  projeto  estima-se  que  opúblico  beneficiado  deverá  passar  de  15  milhões  de  usuários  porano.b)O total de área de proteção do ICMBIO em 2019 já estava em171.424.192 ha.c)Todas  as  Unidades  do  ICMBio  são  passíveis  de  acesso  porpesquisadores alcançando em 2020 mais de 65 mil pesquisadores e3 mil instituições de pesquisa, que fazem uso dos serviços digitaispara solicitações de autorizações de acesso às unidades e outrasautorizações.</t>
  </si>
  <si>
    <t>AgroZap: Assistente Virtual no WhatsApp do Ministério da Agricultura, Pecuária e Abastecimento.</t>
  </si>
  <si>
    <t>Pelo WhatsApp, as pessoas poderão obter informações sobre viagem com animais domésticos, transporte de produtos alimen%cios, crédito rural, apoio à agricultura familiar e pescador profissional, acesse o qr code e comece agora mesmo.</t>
  </si>
  <si>
    <t>Não informado.</t>
  </si>
  <si>
    <t>Baixo impacto</t>
  </si>
  <si>
    <t>MMFDH</t>
  </si>
  <si>
    <t>Cadastro Nacional de Inclusão da Pessoa com Deficiência (Cadastro-Inclusão) </t>
  </si>
  <si>
    <t xml:space="preserve">Solução transacional que visa subsdiar as políticas públicas com informações sociais e o cadastramento e recadastramento de pessoas com deficiência. 
</t>
  </si>
  <si>
    <t xml:space="preserve">12.748.663 pesoas com deficiência, ou seja, 6,7% da população brasileira
</t>
  </si>
  <si>
    <t>Impacto na jornada dos usuários
Otimização de políticas públicas
Risco: Politização da agenda e perda de velocidade</t>
  </si>
  <si>
    <t>Március Crispim</t>
  </si>
  <si>
    <t>ME/PGFN</t>
  </si>
  <si>
    <t>TRITON (extração, triagem e cruzamento de dadosde Tribunais)</t>
  </si>
  <si>
    <t xml:space="preserve">Criação de uma plataforma ou um aplicativo que selecione, colete e combineinformações relevantes produzidas por toda a Justiça Federal, pelo STJ e pelo STFe,na sequência, cruze esses contextos com elementose documentos sensíveis produzidos pela PGFN. </t>
  </si>
  <si>
    <t>Em 2020, a PGFN atuou em mais de 2.620.663 de processos judiciais. Apenas na defesa da União, essas demandamrepresentavam, no Balanço Geral da Uniãode 2019, riscos fiscais de R$ 1,3 trilhão. Mais, considerando apenasosdepósitos judiciaisnas causas da Fazenda, são cercade R$ 187,5 bilhões depositados que aguardam uma solução definitiva em juízo.</t>
  </si>
  <si>
    <t>SIRA Sistema Integrado de Recuperação de Ativos (SIRA) / PGFN</t>
  </si>
  <si>
    <t>Conferir efetividade à recuperação de créditos e à confiabilidade para as relações negociais por meio de um sistema único, que tem por finalidade facilitar a identificação e a localização de bens e devedores, bem como a constrição e a alienação de ativos.</t>
  </si>
  <si>
    <t>Contribuirá para melhoria da pontuação do Brasil no ranking Doing Business.</t>
  </si>
  <si>
    <t>Foco em processos internos. Pode ser integrado ao projeto de gestão créditos do INSS.</t>
  </si>
  <si>
    <t>Sistema Único de Processo Eletrônico em Rede - SUPER.BR – Ministério da Economia (Seges). </t>
  </si>
  <si>
    <t>Novo sistema estruturante de processo administrativo eletrônico para APF.  O módulo administrativo do SUPP – sistema oriundo do SAPIENS da AGU – foi escolhido como base do sistema de gestão documental, renomeado como Sistema Único de Processo Eletrônico em Rede - SUPER.BR. </t>
  </si>
  <si>
    <t xml:space="preserve">118 dos 192 órgãos e entidades que integram a Administração Pública Federal direta, autárquica e fundacional utilizam o Sistema Eletrônico de Informações-SEI; 
54 órgãos dentre os 118 possuem: 
877.551 usuários internos e externos; 
Mais de 18 milhões de processos cadastrados; 
Mais de 160 milhões de documentos criados;
Mais de 50 mil unidades administrativas  
</t>
  </si>
  <si>
    <t>UFC</t>
  </si>
  <si>
    <t xml:space="preserve">TELESSAÚDE UNIVERSITÁRIA </t>
  </si>
  <si>
    <t xml:space="preserve">Sistema com acesso via computadores pessoais ou telefones celulares, com dados armazenados em nuvem computacional, e os seguintes principais recursos: Teleconsultas via chamadas de vídeo e/ou áudio; Atestados, prescrições e solicitações de exames com certificação digital; Agendamentos e confirmação das consultas e exames online; Comunicação, em tempo real, com os resultados dos exames de imagens e laboratoriais do HUWC; Prontuário eletrônico; Relatórios gerenciais; Acesso seguro e confiável; Centralização dos dados e integração com o sistema da universidade. </t>
  </si>
  <si>
    <t>Proponente não é o órgão central,  público atendido limitado.</t>
  </si>
  <si>
    <t>IF GOIANO</t>
  </si>
  <si>
    <t>ATENDIMENTO AUTOMATIZADO DE SUPORTE VIA CHAT</t>
  </si>
  <si>
    <t>Desenvolvimento de um sistema capaz de realizar atendimento de suporte através de chat (ou aplicativos de mensagem instantânea). O sistema apoiara-senas ferramentas "base de conhecimentos", "central de serviços" e "catálogo de serviços deTIC", integrados ao Sistema Unificado de Administração Pública (SUAP). Caso necessário,podem ser incorporadas ao projeto, tecnologias de Inteligência Artificial (IA) tal como RedesNeurais Artificiais.</t>
  </si>
  <si>
    <t xml:space="preserve">Atendimento potencial do público interno (776 técnicos administrativos e 889 docentes) e24.334 estudantes em diferentes níveis de ensino nas modalidade de ensino presencial(reorganizado para ensino remoto durante 2020 e 2021) e EaD. Com a oferta de cursos MOOC (Massive Open Online Courses) a partir de 2021, estima-se crescimento substancialde atendimentos. Durante o ano de 2020, a área de Tecnologia da Informação atendeu 1921 chamados registrados, totalizando 1744 horas de atendimento. </t>
  </si>
  <si>
    <t>MEC/INEP</t>
  </si>
  <si>
    <t>ENEM Digital</t>
  </si>
  <si>
    <t xml:space="preserve">Projeto de transformação em digital de todo o processo do Exame Nacional do Ensino Médio - ENEM
</t>
  </si>
  <si>
    <t>Baixa</t>
  </si>
  <si>
    <t>Impacto alto na sociedade
Risco: Alto Custo para implantação</t>
  </si>
  <si>
    <t>1.3 - Despriorizado</t>
  </si>
  <si>
    <t>Resposta ao Ofício enviada para Anvisa em 18/05/2021</t>
  </si>
  <si>
    <t xml:space="preserve">19952.100201/2021-18 </t>
  </si>
  <si>
    <t>Melhor interação com o segurado e requerimento qualificado</t>
  </si>
  <si>
    <t xml:space="preserve">Transformação das APS em espaço de cidadania e inclusão digital viabilizando a melhoria do  atendimento ao público  </t>
  </si>
  <si>
    <t>1.1 - Prospectado</t>
  </si>
  <si>
    <t>Automação de análise de processos previdenciários</t>
  </si>
  <si>
    <t>Decidir de forma automática 50% dos requerimentos elegíveis / Reduzir para 30% o percentual de processos represados acima de 45 dias</t>
  </si>
  <si>
    <t>Acessar o benefício Garantia Safra</t>
  </si>
  <si>
    <t>Trata-se de oferta de canal digital para acessar o benefício do Programa Garantia Safra. Medida provisória, nova concepção do programa SAFRA e sazonalidade do serviço, levaram revisão do cronograma para junho de 2021. Ações de login único e avalição do serviço, APis CBC, Faixa de renda, avaliação da qualidade, pagtesouro estão alinhados com a área gestora.</t>
  </si>
  <si>
    <t>Gestão das Informações de Fiscalização Agropecuária</t>
  </si>
  <si>
    <t xml:space="preserve">Concepção de Plataforma denominada S-Gestor para  realização da gestão de informações de atos de fiscalização com Integrações dos sistemas informatizados do MAPA.
 </t>
  </si>
  <si>
    <t>Implantação da Plataforma de Gestão Agropecuaria PGA</t>
  </si>
  <si>
    <t>O projeto está em andamento desde 2007 e contempla a entrega de uma Plataforma integradora com os Órgaos de Defesa Agropecuários de todo o país. 
Atualmente já possui mais de seis milhoes de  cadastros oficiais de estabelecimentos e produtores rurais, bem como todas as informações de trânsito de animais do país.
A Plataforma precisa realizar melhorias em seus sistemas de integração com abordagens de novas tecnologias.
A  PGA_SIGSIF, que registra todos os produtos de origem animal com selo SIF e subsidia os registros dos produtos de origem animal com selo SISBI, está sendo implantado em nova versão  dependente de melhorias.</t>
  </si>
  <si>
    <t>Shiva/Comex</t>
  </si>
  <si>
    <t>O projeto tem como escopo o gerenciamento de todas as atividades de comércio exterior que envolvem a SDA. Inicia-se pela perfeita integração com o Portal Único de comércio exterior (possibilitando o cidadão/usuário ter uma única interface para seus trâmites de importação e exportação), passa pela conexão com nossos parceiros internacionais para a troca de documentos eletrônicos e abrange também as atividades da vigilância agropecuária do MAPA.</t>
  </si>
  <si>
    <t>MD</t>
  </si>
  <si>
    <t>Unidade móvel de serviços de saúde para localidades remotas (Telemedicina)</t>
  </si>
  <si>
    <t>Embarque Seguro</t>
  </si>
  <si>
    <t>Sistema informatizado que objetiva promover a segurança e a facilitação do transporte aéreo de passageiros, por meio de um processo automatizado, seguro e descomplicado de identificação de passageiros integrado com bases de dados do governo (SAC, DPF, Denatran, TSE, dentre outras).</t>
  </si>
  <si>
    <t>Ministério da Justiça e Segurança Pública</t>
  </si>
  <si>
    <t>MJSP/PF</t>
  </si>
  <si>
    <t>Base biométrica da Polícia Federal</t>
  </si>
  <si>
    <t xml:space="preserve">Ampliação da Base biométrica da Polícia Federal. 
O projeto de implantação da nova solução ABIS, visando o atendimento das necessidades da PF e de outros órgãos da Administração Pública Federal é de grande complexidade e altamente multidisciplinar. O resultado final deste projeto envolverá, no mínimo, as seguintes atividades:
- planejamento e aquisição da solução tecnológica que viabilizará todos os serviços que sustentarão os processos de identificação biométrica propostos; 
- implantação, configuração e customização da solução para o seu funcionamento dentro dos termos inicialmente contratados e das demandas negociais que passem a consumir os serviços de identificação biométrica da PF 
- construção de um hub/barramento para integração da solução tecnológica com todos os demais serviços tecnológicos da PF e da Administração Pública em Geral, a exemplo da Plataforma de Cidadania Digital e outros serviços públicos digitais. 
- desenvolvimento de módulos e interfaces da solução, os quais venham a viabilizar as integrações com os serviços públicos digitais da PF e de outros órgãos da Administração Pública. 
- gestão das demandas negociais da PF e de outro órgãos da Administração Pública Federal que desejem integrar funcionalidades de identificação biométrica em suas áreas de atuação; e 
- gestão do projeto, atuando diretamente com os patrocinadores do projeto: PF, SENASP/MP, SGD/ME e SEME/PR.    </t>
  </si>
  <si>
    <t>A capacidade inicial de operação do sistema suporta 10 mil autenticações por dia, podendo chegar a 100 mil. Como o licenciamento da solução é baseado em número de núcleos de processamento, existe a possibilidade de aquisição futura de mais licenças para que seja possível o armazenamento e processamento superior a 200 milhões de indivíduos.</t>
  </si>
  <si>
    <t>alta</t>
  </si>
  <si>
    <t xml:space="preserve">Alto impacto para a sociedade e alto potencial econômico
</t>
  </si>
  <si>
    <t>ME/SEPRT</t>
  </si>
  <si>
    <t>Nova Carteira de Trabalho Digital
(Wallet do trabalhador)</t>
  </si>
  <si>
    <t>Agregar serviços e funcionalidades a Carteira de Trabalho Digital</t>
  </si>
  <si>
    <t>INCRA</t>
  </si>
  <si>
    <t>Plataforma de governança fundiária</t>
  </si>
  <si>
    <t>Desenvolver plataforma de governança territorial fundiária interoperável e com um cadastro unificado de gestão. A plataforma deverá realizar todo o processo de regularização e reforma agrária em substituição dos atuais sistemas (SIGEF, SIGEF Titulação, SIPRA, SNCR e outros).</t>
  </si>
  <si>
    <t>SUSEP</t>
  </si>
  <si>
    <t>NOVO FIP – Superintendência de Seguros Privados (SUSEP</t>
  </si>
  <si>
    <t>A substituição do Formulário de Informações Periódicas - FIP e sua atualização tecnológica já era um projeto há muito falado na SUSEP. Porém, sempre visto com ressalvas em função da complexidade e do tamanho das alterações envolvidas. Com o  advento do Sistema de Registro de Operações (SRO) em 2020, boa parte das informações recebidas pela SUSEP por meio do FIP passará a ser recebida por meio do novo sistema. As informações recebidas do FIP passarão a ser complementares àquelas. Essa mudança de paradigma restou por tornar obrigatória a  reformulação e a racionalização dos dados enviados pelas empresas à Autarquia.</t>
  </si>
  <si>
    <t>Foco em processos internos. Dados de impacto ("números") não informado no sumário.</t>
  </si>
  <si>
    <t>INPI</t>
  </si>
  <si>
    <t>Automação do Fluxo de Pedidos de Patentes</t>
  </si>
  <si>
    <t>A solução mapeada baseia-se em um sistema de fluxo de trabalho unificado de low code, juntamente com sistemas e bancos de dados de processamento de patentes, legados e novos, que exijam algum trabalho para alcançar a integração total, sendo recomendada a abordagem de nuvem híbrida projetada para atender tanto aos requisitos operacionais quanto aos requisitos de segurança do INPI.</t>
  </si>
  <si>
    <t>Conforme relatório da Comissão Mista de Desburocratização do Congresso Nacional, de 2017, “ingressam na autarquia [INPI] cerca de 30 mil novos pedidos, mas a capacidade de resolução das demandas pelo Instituto atualmente é da ordem de 20 mil processos”. Àquela época, os pedidos de patente tramitavam em média por 12,5 anos, em contraste com os 4 anos nos países desenvolvidos; a situação é ainda mais crítica no tocante às patentes de medicamentos, cujo tempo médio de concessão já alcançou 14 anos.
Beneficiários impactados: em torno de 100 milhões de cidadãos (direta e indiretamente) / Acessos: em torno de 30 mil acessos por ano / Recursos financeiros envolvidos: em torno de R$10.000.000,00 / Potencial de economia: em torno de £ 7,6 bilhões, de acordo com a London Economics</t>
  </si>
  <si>
    <t>Alto impacto para a sociedade e alto potencial econômico
Risco: Cultura da instituição</t>
  </si>
  <si>
    <t>Versão Digital de Publicação da Revista de Propriedade Industrial</t>
  </si>
  <si>
    <t>Otimização da publicação e consulta das decisões e despachos de processos de propriedade intelectual. Permitirá consultas, pesquisas e visualização dinâmica em plataforma eletrônica própria, com a aplicação de diferentes filtros e parâmetros, sem a necessidade do download de documentos volumosos ou da utilização de softwares licenciados para a realização de buscas por termos ou palavras-chaves.</t>
  </si>
  <si>
    <t>Beneficiários impactados: em torno de 20 milhões de cidadãos (direta e indiretamente) / Acessos à RPI: em torno de 315 mil acessos por semana / Recursos financeiros envolvidos: em torno de R$200.000,00 no período de 12 meses / Potencial de economia: em torno de R$119.476.350,00, relacionado ao Custo do Tempo, de acordo com o “Guia Prático – Modelo de Custos de Serviços Públicos”</t>
  </si>
  <si>
    <t>Público usuário restrito</t>
  </si>
  <si>
    <t>Ministério do Turismo</t>
  </si>
  <si>
    <t>MTUR</t>
  </si>
  <si>
    <t>Adequação da infraestrutura de TIC às diretrizes da LGPD</t>
  </si>
  <si>
    <t>Otimizar a infraestrutura de TIC com adequação às diretrizes da LGPD, assegurando o respeito à privacidade dos cidadãos e proteção de dados pessoais.</t>
  </si>
  <si>
    <t>- O Cadastur, sistema responsável pelo credenciamento de todos os prestadores de serviços turísticos possui 185 mil pessoas físicas e pessoas jurídicas, com dados pessoais e sensíveis armazenados em bancos de dados;
- O SALIC é responsável pela operacionalização da Lei Rouanet e possui 48.115 proponentes, 94.709 incentivadores e 163.717 fornecedores cadastrados.</t>
  </si>
  <si>
    <t>Elaboração de processo para adequação à LGPD</t>
  </si>
  <si>
    <t>Avaliar a realidade do MTur, mapear e elaborar processos, rotinas, guias de boas práticas, metodologias, dentre outras orientações para a operação adequada pelos servidores do MTur, garantindo o compliance com a LGPD e diretrizes do Gabinete de Segurança Institucional da Presidência da República - GSI/PR.</t>
  </si>
  <si>
    <t>Elaboração da Política de Segurança da Informação e normas complementares</t>
  </si>
  <si>
    <t>Elaboração e publicação da POSIN e normas de apoio, tais como: criação e manutenção de contas de usuários e senhas, uso do correio eletrônico, uso da internet ,procedimentos de backup uso de redes sociais, entre outras</t>
  </si>
  <si>
    <t>Uma Política de Segurança da Informação bem definida influenciará diretamente na rotina de trabalho de aproximadamente 1.200 servidores e colaboradores do Ministério do Turismo.</t>
  </si>
  <si>
    <t xml:space="preserve">foco em processos internos. </t>
  </si>
  <si>
    <t>Atualização de servidores de aplicação obsoletos</t>
  </si>
  <si>
    <t>Atualizar servidores de aplicação dos sistemas legados que utilizam linguagens, bibliotecas e servidores de aplicação obsoletos ou desatualizados, com diversas vulnerabilidades de segurança da informação;
Realizar testes funcionais após a atualização para garantir o pleno funcionamento.</t>
  </si>
  <si>
    <t>não informado.</t>
  </si>
  <si>
    <t>foco em processos internos. Dados de impacto ("números") não informado no sumário.</t>
  </si>
  <si>
    <t>Definição de uma arquitetura de redes para os serviços legados do Turismo e da Cultura, considerando o risco de separação das pastas/temas (Turismo e Cultura).
Promover a consolidação das estruturas de banco de dados , de servidores físicos , de armazenamento visando redução em consumo energético, facilidade de gestão, diminuição dos itens de configuração/ativos geridos, bem como promover a inativação de serviços que não precisam estar em uso.
Promover simplificação dos ativos de infraestrutura e equalização dos ambientes, deixando-os mais homogêneos possíveis, facilitando a gestão e assegurando maior eficiência nas ações de segurança da informação.</t>
  </si>
  <si>
    <t>- redução de consumo energético, R$ 5.000,00 mensal (R$ 60.000,00 ao ano);
- redução dos s erviços as s ociados à manutenção de ativos /itens de configuração na infraestrutura, podendo chegar a redução de 25% do valor dispendido com esses serviços (R$ 2.500.000,00), além de economia com outros contratos de suporte e garantia, bem como, com novos planejamentos da contratação.</t>
  </si>
  <si>
    <t>Evolução das plataformas tecnológicas do SALIC -Sistema de Apoio às Leis de Incentivo à cultura</t>
  </si>
  <si>
    <t xml:space="preserve">Implementação de soluções que possibilitem melhorias no ambiente da Lei de Incentivo à Cultura. A Secretaria Especial da Cultura do Ministério do Turismo (Secult/MTur) uti_x0000_liza como suporte à gestão de projetos culturais do mecanismo de Incen_x0000_vo à Projetos Culturais do Programa Nacional de Apoio à Cultura (Pronac) o Sistema de Apoio às Leis de Incen_x0000_vo à Cultura (SALIC), disponibilizado em ambiente “Web” na internet.O referido sistema controla todos os fluxos e processos dos projetos culturais que acessam o mecanismo de Incentivo à Projetos Culturais da Lei de Incenvo à Cultura (Lei 8.313/1991).
</t>
  </si>
  <si>
    <t>foco em processos internos</t>
  </si>
  <si>
    <t>mplementação de ambiente e filosofia DevSecOps</t>
  </si>
  <si>
    <t>- Implementação/Implantação de so􏰅wares livres para análise de vulnerabilidades de forma integrada com a esteira DevOps.
- Estabelecer processo para execução de testes de penetração.</t>
  </si>
  <si>
    <t>Implementar cultura de segurança da informação por meio de processos, procedimentos e boas práticas de conscientização e sensibilização dos usuários</t>
  </si>
  <si>
    <t>Analisar e avaliar a rotina de trabalho dos usuários e o ambiente do MTur. Estabelecer processos, procedimentos e boas práticas para a conscientização e sensibilização sobre a importância da segurança da informação nas atividades funcionais e particulares dos servidores e colaboradores. Propor cursos e dinâmicas por meio de gamificação, por exemplo, para maior eficiência e alcance na conscientização e sensibilização dos servidores e colaboradores</t>
  </si>
  <si>
    <t>Influenciará diretamente na rotina de trabalho de aproximadamente 1.200 s ervidores e colaboradores do Ministério do Turismo.</t>
  </si>
  <si>
    <t>Migração de serviços para nuvem</t>
  </si>
  <si>
    <t>Análise do ambiente, planejamento e apoio na contratação para migração de um ou mais serviços para a nuvem, como os sistemas: SALIC (Sistema de Acesso às Leis de Incentivo à Cultura), Cadastur (Sistema de cadastro de pessoas fisicas e jurídicas que atuam na cadeia produtiva do turismo), Selo Turismo Responsável (que estabelece práticas de higienização para cada segmento do setor turístico) conforme critérios de priorização a serem definidos pelo Ministério do Turismo. Os sistemas acima apresentam fator sazonalidade que pode ser controlado melhor em ambiente em nuvem.</t>
  </si>
  <si>
    <t>- SALIC: 103.944 projetos enviados ; 287.803 propos tas s ubmetidas ; 48.115 proponentes cadastrados; 94.709 incentivadores contribuindo, 163.717 fornecedores; '- Cadastur: 183 mil prestadores de serviços turísticos cadastrados; '- Selo Turismo Responsável: 27 mil selos emitidos;</t>
  </si>
  <si>
    <t>Criação do Portal de Promoção de Destinos Turísticos Brasileiros</t>
  </si>
  <si>
    <t>Desenvolvimento de um portal promocional dos destinos brasileiros, com vistas a divulgar informações e imagens oficiais sobre os destinos brasileiros e demais informações de interesse do turista. Também espera-se divulgar informações e documentos de interesse dos gestores públicos e privados relacionados à cadeia produtiva do turismo.</t>
  </si>
  <si>
    <t>A implantação desta solução poderá alcançar as 134 milhões de pessoas que possuem acesso à internet no Brasil (Brasil tem 134 milhões de usuários de Internet, aponta pesquisa | Agência Brasil (ebc.com.br)), bem como milhões de turistas internacionais.
Considerando a tecnologia atual de mercado e as especificações arquiteturais e funcionalidades indicadas pelo MTur (com as devidas integrações com sistemas do órgãos, como o SIDTur, Cadastur e Agenda de Eventos), estima-se que o projeto deverá custar em torno de R$ 425.010,00 (estimativa já feita pela STII-MTur).</t>
  </si>
  <si>
    <t>projeto de comunicação</t>
  </si>
  <si>
    <t>Instituto Nacional de Educação de Surdos/MEC</t>
  </si>
  <si>
    <t>Ines/MEC</t>
  </si>
  <si>
    <t>Dicionário de Sinais - INES</t>
  </si>
  <si>
    <t>Desenvolvimento do dicionário com linguagem atual e aberta, multiplataforma a fim de permitir a utilização adequada tanto em computadores quanto no celular (IOs e Android) disponível através das respectivas lojas de aplicativos. Plataforma dinâmica de gestão das palavras e respectivos sinais e significados permitindo o acréscimo de termos pela própria comunidade acadêmica. Expansão do dicionário para que atenda libras, português, ASL (American Sign Language) e Inglês.</t>
  </si>
  <si>
    <t>Segundo a Organização Mundial da Saúde (OMS) existem 500 milhões de surdos no mundo e, até 2050, haverá pelo menos 1 bilhão em todo o globo. Estudo feito em conjunto pelo Instituto Locomotiva e a Semana da Acessibilidade Surda revela a existência, no Brasil, de 10,7 milhões de pessoas com deficiência auditiva. A expectativa é que esse número aumente significativamente com o envelhecimento da população. Entre 2006 e 2009, o Ministério da Educação (MEC) certificou pouco mais de 5 mil intérpretes pelo Prolibras - o Programa Nacional para Certificação de Proficiência no Uso e Ensino da Língua Brasileira de Sinais - e, embora mais de 7,6 mil cursos superiores de Pedagogia, Fonoaudiologia e Letras ofereçam a disciplina de Libras, ter o número de intérpretes necessário para atender a demanda das escolas ainda é uma realidade distante.</t>
  </si>
  <si>
    <t>público restrito</t>
  </si>
  <si>
    <t>Resposta ao Oficio do INES encaminhada dia 18/05/2021</t>
  </si>
  <si>
    <t xml:space="preserve">14021.135744/2021-43 </t>
  </si>
  <si>
    <t>PLATAFORMA DE INTERPRETAÇÃO DE SINAIS - INES</t>
  </si>
  <si>
    <t>Plataforma baseada em IA, deep learning e machine learning para leitura e interpretação dos sinais para o idioma escrito/falado através da câmera e sensores disponíveis nos aparelhos móveis. API/SDK que permite a adoção do recurso em softwares de terceiros. Aplicativo do tipo teclado para sistemas operacionais móveis que consuma a API da plataforma para prover diretamente a funcionalidade ao usuário final.</t>
  </si>
  <si>
    <t>INFRAESTRUTURA DE TI DESCENTRALIZADA - RNP</t>
  </si>
  <si>
    <t>Solução de software de computação distribuída (nodes) para prover o
compartilhamento do espaço em disco e/ou capacidade de processamento ociosa nos data
centers da administração pública.</t>
  </si>
  <si>
    <t>Segundo o portal governamental dados.gov.br/dataset/siorg existem ao menos 256 unidades federais. Através do site shodan.io constam a existência de 78 hosts utilizando domínios .gov.br este número considera apenas hosts públicos e que possuam vínculo ao domínio governamental. Com base no site do Processo Eletrônico Nacional verifica-se a adoção do SEI por 277 órgãos ou entidades, o que corresponde dizer que considerando um número mínimo de 10 hosts para cada um desses, chegamos a um total de 2770 hosts. Um equipamento razoável processador 3.4 GHz, 8gb RAM e HD 2 TB custa a partir de R$10.000 contudo há de se considerar também seus custos de licenciamento, energia, refrigeração, manutenção e operação técnica. Estimar a quantidade de data centers e seus hosts, sua capacidade computacional total e os custos que implica manter toda essa infraestrutura é algo bastante complexo.</t>
  </si>
  <si>
    <t>ESPAÇO DE COWORKING PARA SERVIDORES PÚBLICOS - ME</t>
  </si>
  <si>
    <t>Desenvolvimento de aplicativo para consolidação de ofertas e agendamentos de espaços para coworking nos órgãos públicos.</t>
  </si>
  <si>
    <t>De acordo com Boletim Estatístico de Pessoal, divulgado pelo Ministério do Planejamento, Orçamento e Gestão, 102,6 mil servidores federais estão lotados no Rio de Janeiro, contra 70,3 mil pessoas em Brasília. No Rio de Janeiro uma busca no Google Maps por Repartição Pública Federal apresenta mais de 200 resultados, enquanto que em Brasília esse número fica próximo de 300 resultados.</t>
  </si>
  <si>
    <t>Agência Nacional de Vigilância Sanitária</t>
  </si>
  <si>
    <t>Anvisa</t>
  </si>
  <si>
    <t>e-Notivisa</t>
  </si>
  <si>
    <t>Transformação   digital   para   fins de  automação do  modelo de vigilância pós comercialização (vigilância passiva e ativa) com a modernizaşão da plataforma de coleta, tratamento e monitoramento dos eventos adversos e queixas técnicas relacionadas aos produtos sujeitos à vigilância sanitária, para melhorar a experiência dos usuários e facilitar seu papel como agentes participativos no acesso e consumo seguro para sua saúde.</t>
  </si>
  <si>
    <t xml:space="preserve">O atual cenário envolve 1.087 indústrias farmacêuticas e todos os medicamentos e vacinas, 2.124 indústrias de produtos para a saúde, 2.778 indústrias de cosméticos, 3.583 indústrias de saneantes, 95.055 farmácias e drogarias, 81 vigilâncias sanitárias e laboratórios, oficiais,  87 portos, aeroportos e recintos alfandegados, 32.988 distribuidoras de saneantes, cosméticos, medicamentos e produtos para a saúde, 306.849 serviços de saúde, sendo 5.530 hospitais, além de 2.117 serviços de hemoterapia. Envolve transversalmente todas as áreas finalísticas da Anvisa. Quantitativo de potenciais usuários: Todo cidadão brasileiro usuário de produtos
sujeitos ao controle sanitário, estimando-se cerca de 80 milhões de pessoas, ao Iado de pelo menos 430 mil empresas produtoras ou comercializadoras desses produtos, corporações, estabelecimentos, entidades e instituições de saúde.
</t>
  </si>
  <si>
    <t>alto potencial de impacto econômico</t>
  </si>
  <si>
    <t>Resposta ao Oficio da Anvisa encaminhada dia 18/05/2021</t>
  </si>
  <si>
    <t>Secretaria de Governo Digital</t>
  </si>
  <si>
    <t>ME/SGD</t>
  </si>
  <si>
    <t>Domicílio Eletrônico</t>
  </si>
  <si>
    <t>recintos</t>
  </si>
  <si>
    <t>alfandegados,</t>
  </si>
  <si>
    <t>Ministério da Cidadania</t>
  </si>
  <si>
    <t>MCid</t>
  </si>
  <si>
    <t xml:space="preserve"> + Cidadania</t>
  </si>
  <si>
    <t>Departamento Nacional de Infraestrutura de Transportes - MINFRA</t>
  </si>
  <si>
    <t>DNIT/MINFRA</t>
  </si>
  <si>
    <t xml:space="preserve">Serviços do Portal de Multas de Trânsito do DNIT </t>
  </si>
  <si>
    <t xml:space="preserve">Informatização de informações e disponibilização de funcionalidades para facilitar o alcance dos serviços ofertados no portal aos cidadãos, como utilização do meio de pagamento PagTesouro (PIX), do Governo Federal, para efetuar o pagamento de multas de trânsito, cadastro de documentos do usuário visando ao uso em processos relacionados à autuação de infração de trânsito e outros.
</t>
  </si>
  <si>
    <t>Não apresentados.</t>
  </si>
  <si>
    <t>Dados de impacto ("números") não informados no sumário.</t>
  </si>
  <si>
    <t>Resposta ao Oficio do DNIT encaminhada dia 18/05/2021</t>
  </si>
  <si>
    <t xml:space="preserve">19974.100878/2021-06 </t>
  </si>
  <si>
    <t>Instituto de Pesquisa Econômica Aplicada</t>
  </si>
  <si>
    <t>IPEA/ME</t>
  </si>
  <si>
    <t>Plataforma de Ciência de Dados</t>
  </si>
  <si>
    <t>Criar uma Plataforma de Ciência de Dados no Ipea, com tecnologias de apoio a processamento de grandes volumes de dados, orientados a pesquisa. Além da criação da plataforma, que envolve a construção de um Data Lake, o projeto envolve o treinamento de técnicos do Ipea e seus auxiliares no uso das ferramentas.</t>
  </si>
  <si>
    <t>Os beneficiários serão diretamente os servidores e pesquisadores associados ao Ipea, que terão um maior
aproveitamento de recursos tecnológicos para realização da pesquisa.
Indiretamente, beneficiar-se-ão os clientes do Ipea, que são Governo, legisladores, judiciários, imprensa e
sociedade civil, que consome as publicações do instituto. Acreditamos que com a implementação desse
projeto, as pesquisas possam ser feitas com maior rapidez, levando dados mais tempestivos e atualizados
para os cidadãos.</t>
  </si>
  <si>
    <t>Superintendência do Desenvolvimento do Centro-Oeste</t>
  </si>
  <si>
    <t>SUDECO</t>
  </si>
  <si>
    <t>Painéis de Negócio</t>
  </si>
  <si>
    <t>Desenvolvimento de painéis gerenciais relativos às atividades finalísticas e políticas públicas promovidas pela Sudeco.</t>
  </si>
  <si>
    <t>Dados de impacto ("números") não informados no sumário, foco em processos internos.</t>
  </si>
  <si>
    <t>Agência Nacinal de Aviação Civil</t>
  </si>
  <si>
    <t>ANAC</t>
  </si>
  <si>
    <t>Caderneta Individual de Voo Digital (CIV Digital)</t>
  </si>
  <si>
    <t>Desenvolvimento de novas funcionalidades para o sistema “CIV Digital” com a finalidade de aumentar a confiabilidade e rastreabilidade das informações nele declaradas pelos aeronautas, possibilitando, em definitivo, a descontinuidade do uso da CIV em sua versão em papel.</t>
  </si>
  <si>
    <t>Estima-se que hoje haja mais de 40.000 acessos ao sistema ao mês. Este número é o total de pilotos habilitados e qualificados atualmente. Contudo, cabe frisar que esse quantitativo não é o correspondente à quantidade de acessos simultâneos que devem ser suportados.</t>
  </si>
  <si>
    <t>ID Digital</t>
  </si>
  <si>
    <t>Sistema de Certificação de Pessoas (SISCEP)</t>
  </si>
  <si>
    <t>Desenvolvimento do sistema SISCEP.
O sistema SISCEP, como suporte ao processo de certificação de pessoas, permite o controle das informações inerentes ao processo, culminando com a automatização dos lançamentos de licenças e habilitações nos bancos de dados relacionados.</t>
  </si>
  <si>
    <t>o sistema possui aproximadamente 40.000 acessos ao mês. 
estima-se economia de tempo de 50% na análise dos processos de licenças e habilitações, o que possibilitará a cessão de 50% dos servidores para demais áreas e atividades da Agência, aumentando, assim, a eficiência e eficácia de seus processos.</t>
  </si>
  <si>
    <t>Id Digital</t>
  </si>
  <si>
    <t>Registro Aeronáutico Brasileiro Digital (RAB DIGITAL)</t>
  </si>
  <si>
    <t>Desenvolver e implantar um sistema para melhorar e automatizar a entrada e a gestão de petições relacionadas ao Registro Aeronáutico Brasileiro (RAB Digital), 
Sua funcionalidade será promover, via web, uma série de validações antes que um processo seja gerado no SEI, bem como facilitar a disponibilização de informações ao regulado e interessados acerca dos documentos e procedimentos necessários a cada tipo de petição e seu acompanhamento. Além disso, promoverá levantamentos estatístico de dados que podem subsidiar decisões da alta gestão</t>
  </si>
  <si>
    <t>Beneficiará diretamente cerca de 6.000 regulados ao ano, além de municiar outros entes da sociedade como o judiciário, Ministério Público, Receita Federal e outros que requerem o histórico de propriedade para levantamento de patrimônio, eventual inscrição de decisão judicial, sequestro, arresto, penhoras e outros atos emitidos por autoridade judicial e administrativa. 
Hoje em dia, há, em média, 25 novos processos lançados diariamente a serem analisados e esse número tende só a aumentar. Além disso, observa-se que grande parte dos acessos realizados no Portal da ANAC direciona-se para a página específica que trata sobre o RAB. Estima-se que haja cerca de 9.000 acessos ao mês.</t>
  </si>
  <si>
    <t>Cadastro Inclusão</t>
  </si>
  <si>
    <t>Tipo</t>
  </si>
  <si>
    <t>KPI</t>
  </si>
  <si>
    <t>Formula</t>
  </si>
  <si>
    <t>Fonte</t>
  </si>
  <si>
    <t>Responsável</t>
  </si>
  <si>
    <t>Valor 
base</t>
  </si>
  <si>
    <t>Data base</t>
  </si>
  <si>
    <t>Valor 
alvo</t>
  </si>
  <si>
    <t>Data alvo</t>
  </si>
  <si>
    <t>Linha de base</t>
  </si>
  <si>
    <t>Atual</t>
  </si>
  <si>
    <t>%Realizado</t>
  </si>
  <si>
    <t>Última importação</t>
  </si>
  <si>
    <t>Desempenho</t>
  </si>
  <si>
    <t xml:space="preserve">Total de entregas realizadas até o mês de apuração (acumulado) / total de entregas previstas até o fim do projeto	</t>
  </si>
  <si>
    <t>Planilhas de acompanhamento</t>
  </si>
  <si>
    <t>CGPE</t>
  </si>
  <si>
    <t>Total de entregas realizadas no prazo (dia) até o mês de apuração (acumulado) / total de entregas realizadas até o mês de apuração (acumulado)</t>
  </si>
  <si>
    <t>Segurança da Informação no INSS</t>
  </si>
  <si>
    <t xml:space="preserve"> Execução do projeto</t>
  </si>
  <si>
    <t xml:space="preserve"> Entregas realizadas no prazo</t>
  </si>
  <si>
    <t>Prescrição Eletrônica (RDNS)</t>
  </si>
  <si>
    <t>Ministério da Agricultura, Pecuária e Abastecimento</t>
  </si>
  <si>
    <t>Ministério da Defesa</t>
  </si>
  <si>
    <t>Instituto Nacional do Seguro Social</t>
  </si>
  <si>
    <t>Secretaria Especial de Desburocratização, Gestão e Governo Digital</t>
  </si>
  <si>
    <t>Secretaria Especial de Previdência e Trabalho</t>
  </si>
  <si>
    <t>Ministério da Educação</t>
  </si>
  <si>
    <t>Instituto Nacional de Estudos e Pesquisas Educacionais Anísio Teixeira</t>
  </si>
  <si>
    <t>Ministério da Infraestrutura</t>
  </si>
  <si>
    <t>Ministério da Saúde</t>
  </si>
  <si>
    <t>Agência Nacional de Energia Elétrica</t>
  </si>
  <si>
    <t>Ministério da Mulher, da Família e dos Direitos Humanos</t>
  </si>
  <si>
    <t>Procuradoria-Geral da Fazenda Nacional</t>
  </si>
  <si>
    <t>Instituto Chico Mendes de Conservação da Biodiversidade</t>
  </si>
  <si>
    <t>Secretaria Especial de Desestatização, Desinvestimento e Mercados</t>
  </si>
  <si>
    <t>Universidade Federal do Ceará</t>
  </si>
  <si>
    <t>Comissão de Valores Mobiliários</t>
  </si>
  <si>
    <t>Instituto Federal de Educação, Ciência e Tecnologia Goiano</t>
  </si>
  <si>
    <t>Instituto Nacional de Colonização e Reforma Agrária</t>
  </si>
  <si>
    <t>Superintendência de Seguros Privados</t>
  </si>
  <si>
    <t>Instituto Nacional da Propriedade Industrial</t>
  </si>
  <si>
    <t>Indicadores Consolidados</t>
  </si>
  <si>
    <t>Semana de implementação de controles do portal gov.br, conecta e identidade digital. Articulação com outros órgãos para trabalho no 3o ciclo. Acompanhamento do MOU com UK e do Fortaleza Digital. Trabalho de capacitação dos novos servidores (5 infra e 8 Segurança)
1. Sistemas Críticos  
Todos em fase de implementação de controles de segurança
Planejamento 3o Ciclo: INSS, INCRA, MAPA, ME
2. Fortaleza Digital
Planos de ação SERPRO e DATAPREV: Resultados em 90 dias
Desenho tecnológico SOC Centralizado como serviço;
Capacitação de Equipes;
MOU UK - Security by Design.
3. Sinergia ANPD 
Diagnóstico de Segurança e Privacidade
Rede de Encarregados - Fórum
Programa de Privacidade</t>
  </si>
  <si>
    <t xml:space="preserve">- Funcionalidade de incentivo á avaliação na Nota da loja foi implementada e já está dando resultados (aumento de 40% só no fim de semana.
- Desenvolvimento da Iteração 9 - Entrega 3
- Desativação do Sigepe Mobile em 3/6
							</t>
  </si>
  <si>
    <t xml:space="preserve">1. Identificação das adequações no acesso gov.br para estímulo ao acesso
2. Encaminhamento de mala direta direcionada ao público que apresentou falha					
3. Desativação do Sigepe Mobile em 3/6							
							</t>
  </si>
  <si>
    <t xml:space="preserve">1. RECOMENDAÇÃO
Pendente a autorização do SERPRO para que a recomendação aos usuários seja colocada em homologação e produção (atividade 1.19.1 no cronograma)							
2. Indefinição sobre orçamento 
</t>
  </si>
  <si>
    <t xml:space="preserve">"Entrada em produção do histórico de navegação nas páginas do portal
Implementação da integração com o Google Notícias							
							</t>
  </si>
  <si>
    <t>1) Prova de Vida do INSS: 6,6 milhões de beneficiários já carregados no gov.br 
2) Integração assinatura avançada JUCER foi homologado</t>
  </si>
  <si>
    <t>1) Levantamentos de beneficiários INSS com biometria ainda em levantamento, com previsão de conclusão nesta semana.</t>
  </si>
  <si>
    <t>1. INSS - Substituição  do Portal CNIS  pelo Sistema Único de Benefício - SUB. 
 -&gt; Reunião com presidente do INSS para enforcement do projeto.
    INSS ficou de formalizar a indicação do encarregado e ponto focal para o projeto.      
Decidiu-se que , em função dos problemas e atrasos lá , que o INSS fica para o 3o ciclo.</t>
  </si>
  <si>
    <t xml:space="preserve">ACT
Assinado - será publicado em 08/06.
Aguardando aceite formal dos painéis: 
01 - Orçamento Finança e Contabilidade - maio 2021 - 6 indicadores
5 construídos / 1 em construção (COMPREV)
Aguardando definição da data de entrega pela CGPEI (COMPREV). 
02 - Servidores e Educação Previdenciária - junho 2021 - 10 indicadores
Em especificação
POC GovCloud:
Em andamento
Instalar ferramentas
</t>
  </si>
  <si>
    <t xml:space="preserve">
2 - Pendências de pactuação
 -&gt; Descentralização prevsita para 31/05 e nomeação 01/06.
3 - Atrasos  no cronograma
   -&gt; 2FA: 10 dias
  -&gt;  Sanitização de bases: DTP decidiu montar um produto que também atenda outros órgãos. Acreditam que o produto vai ficar mais robusto, mas atrasa a entrega em cerca de 2 meses (entrega estava prevista para setembro). Vão confirmar a nova data na próxima semana.
  -&gt; Conectividade de links: Havia previsão de contratação para maio, mas novos requisitos foram incluídos e não há previsão de nova data. Thiago acha que essa frente não cabe na startup, pois seria uma frente de sustentação. 
 --&gt; Solicitada agenda com Rolim para realinhamento do cronograma.
</t>
  </si>
  <si>
    <t>1 - Possível mudança de escopo com entrada da Dataprev
2 - Reunião Executiva  agendada para dia 08/06</t>
  </si>
  <si>
    <t xml:space="preserve">
1 - Pendências de pactuação
 -&gt; Líder nomeada em cargo DAS3 até MEC disponibilizar DAS4
2 - Mapeamento e necessidades normativas em andamento</t>
  </si>
  <si>
    <t xml:space="preserve">
1 - Processo ACT para assinatura SEDGG
2 - O Serpro respondeu não ter viabilidade na oferta de SaaS alegando alto risco no investimento da solução e grande volume de projetos em execução. Dataprev demonstrou interesse.
 -&gt; Agenda com SGD e STN para tratar sobre definição da estratégia da fase externa.
5 - Mudanças na estrutura do INSS com risco de redução do patrocínio do projeto;
</t>
  </si>
  <si>
    <t>Em 31/05 ocorreu a reunião de ponto de controle onde foi questionado o motivo do Amapá não ter rodado a AD.
Em 02/06 ocorreu reunião entre o Analista de Processos, Eduardo, Gerente de Projetos, Rafael, e o SFB para levantamento de informações do processo de implantação para a criação do fluxo e checklist da implantação.
Em 02/06 ocorreu reunião entre as secretarias estaduais e o SFB para criar estratégias de comunicação com o produtor rural.</t>
  </si>
  <si>
    <t>1 - Processo ACT não recebido pela SGD,  não haverá consulta jurídica no MAPA.
2 - Amapá ainda não rodou a ferramenta.
 -&gt; João Adrien vai fazer reunião com Amapá e estão mapeando outros municípios para chegar a 80% do total.
 -&gt; Foi solicitado o desenho das etapas do serviço e a indicação de onde a análise está travando.
3 - Atualização semanal da planilha.</t>
  </si>
  <si>
    <t xml:space="preserve">Reuniões de apresentação do novo líder ao Squad e de apreentação da TI do MAPA ao Squad. 
Coletado nomes para distribuição de email corporativo ao Squad (@agro.gov.br). 
Documento para apoio ao DOD está em elaboração.
</t>
  </si>
  <si>
    <t xml:space="preserve">
1 - Confirmação de investimento  da MBC de R$ 1.250.000, sendo R$ 1.050.000  para EloGroup 
 2 -  Novo escopo definido: 1)Acompanhar o trabalho do Elogroup no desenvolvimento da esteira de modelagem para setores regulados, e execução da modelagem para 4 setores regulados; 2) Adiantar a modelagem para até outros 14 setores para aplicar na esteira que o elogroup desenvolver (importante fechar quantos setores seria possivel modelar no prazo); 3) Ajudar na contratação do SERPRO para sustentação e desenvolvimento subsequente.
3 - Transição na liderança do projeto e apoio para desenho da contratação.
4 - Reunião Executiva a ser agendada para o dia 11/06.
5 - Possível evento de lançamento do projeto dia 08/06.</t>
  </si>
  <si>
    <t>31/05 - Reunião Serpro para viabilização do ambiente de desenvolvimento.
31/05 a 02/06 - Refinamento do projeto com o time squad, SPU e SEDDM.
01/06 - Entrevista SPU/SC</t>
  </si>
  <si>
    <t xml:space="preserve">1. - Liderança compartilhada do projeto
2. Enviado canva e sumário executivo
 -&gt; Escopo do projeto muito reduzido e focado em processos internos, de gestão, com público restrito. 
 - Em readequação pelo líder do projeto.
3. Pendência de desenvolvedor(es) Angular/Java/PostGres com foco em Back End
4. Reunião executiva a ser agendada.
</t>
  </si>
  <si>
    <t>1 - Reunião Executiva de pactuação realizada dia 19/05.
2 - Reunião com INSS realizada dia 24/05
3 - Realizada oficina interna para definição do escopo do projeto.</t>
  </si>
  <si>
    <t>Consolidação dos Data centers dos Blocos B e U da Esplanada dos Ministérios</t>
  </si>
  <si>
    <t>Desde 1993 até hoje, foram 140.351 projetos apresentados, 120.474 projetos aprovados, 59.019 com captação de recursos que alcançam R$ 20.039.661.595,60.</t>
  </si>
  <si>
    <t xml:space="preserve">1 - Líder iniciou no projeto em 24/05
2 - Escopo do projeto em revisão pelo MS
3 - Possível dificuldade em conseguir recursos para desenvolvimento da solução devido à priorização de ações do enfrentamento da pandemia.
4 - Reunião Executiva agendada para 18/06.
</t>
  </si>
  <si>
    <t>Foi apresentado o plano de trabalho SGD dia 02/06.
Envio o Plano de Trabalho e ACT até dia 09/06</t>
  </si>
  <si>
    <t>Reunião Executiva agendada para 09/06.</t>
  </si>
  <si>
    <t>1 - Escopo em definição.
2 - Finalização dos Instrumentos e da proposta de Modelo Único de Avaliação Biopsicossocial da Deficiência. Previsão de conclusão até 30 de setembro de 2021.
3 - Agendar Reunião Executiva paa a semana do dia 14/06.</t>
  </si>
  <si>
    <t xml:space="preserve">
1 - Mudança do líder em andamento.
 -&gt; Definir cargo Márcia/Tiago/Kátia
2 - Dificuldade de comunicação e gerenciamento total do projeto
Sombreamento com a CG demandante
3 - Acesso aos dados na Dataprev ainda em definição
POC GovCloud
4 - ACT assinado e será publicado amanhã</t>
  </si>
  <si>
    <t>Codigo Projeto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</si>
</sst>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416]mmm\-yy;@"/>
    <numFmt numFmtId="165" formatCode="d/m/yy\ h:mm:ss;@"/>
  </numFmts>
  <fonts count="28"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1"/>
      <color theme="1"/>
      <name val="Calibri"/>
      <family val="2"/>
      <scheme val="minor"/>
    </font>
    <font>
      <sz val="10"/>
      <color theme="1"/>
      <name val="Calibri"/>
      <family val="2"/>
      <scheme val="minor"/>
    </font>
    <font>
      <b/>
      <sz val="12"/>
      <color theme="0"/>
      <name val="Calibri"/>
      <family val="2"/>
      <scheme val="minor"/>
    </font>
    <font>
      <b/>
      <sz val="11"/>
      <color theme="1"/>
      <name val="Calibri"/>
      <family val="2"/>
      <scheme val="minor"/>
    </font>
    <font>
      <sz val="11"/>
      <color rgb="FF000000"/>
      <name val="Calibri"/>
      <family val="2"/>
    </font>
    <font>
      <b/>
      <sz val="14"/>
      <color rgb="FF000000"/>
      <name val="Calibri"/>
      <family val="2"/>
    </font>
    <font>
      <b/>
      <sz val="10"/>
      <color theme="1"/>
      <name val="Calibri"/>
      <family val="2"/>
      <scheme val="minor"/>
    </font>
    <font>
      <b/>
      <sz val="14"/>
      <color theme="1"/>
      <name val="Calibri"/>
      <family val="2"/>
      <scheme val="minor"/>
    </font>
    <font>
      <sz val="12"/>
      <color theme="1"/>
      <name val="Calibri"/>
      <family val="2"/>
    </font>
    <font>
      <u/>
      <sz val="12"/>
      <color theme="10"/>
      <name val="Calibri"/>
      <family val="2"/>
      <scheme val="minor"/>
    </font>
    <font>
      <sz val="12.5"/>
      <color theme="1"/>
      <name val="Calibri"/>
      <family val="2"/>
    </font>
    <font>
      <b/>
      <sz val="12.5"/>
      <color theme="1"/>
      <name val="Calibri"/>
      <family val="2"/>
    </font>
    <font>
      <sz val="11"/>
      <color theme="1"/>
      <name val="Calibri"/>
      <family val="2"/>
    </font>
    <font>
      <sz val="10"/>
      <color rgb="FF000000"/>
      <name val="Calibri"/>
      <family val="2"/>
    </font>
    <font>
      <sz val="10"/>
      <color rgb="FF000000"/>
      <name val="Calibri"/>
      <family val="2"/>
      <scheme val="minor"/>
    </font>
    <font>
      <sz val="11"/>
      <color rgb="FF000000"/>
      <name val="Calibri"/>
      <family val="2"/>
      <scheme val="minor"/>
    </font>
    <font>
      <sz val="12"/>
      <color theme="1"/>
      <name val="Calibri"/>
      <family val="2"/>
      <scheme val="minor"/>
    </font>
    <font>
      <b/>
      <sz val="10"/>
      <color theme="1"/>
      <name val="Calibri"/>
      <family val="2"/>
    </font>
    <font>
      <sz val="10"/>
      <color theme="1"/>
      <name val="Calibri"/>
      <family val="2"/>
    </font>
    <font>
      <b/>
      <sz val="11"/>
      <color rgb="FF000000"/>
      <name val="Calibri"/>
      <family val="2"/>
      <scheme val="minor"/>
    </font>
    <font>
      <b/>
      <sz val="14"/>
      <color rgb="FFFFFFFF"/>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00206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rgb="FF002060"/>
        <bgColor theme="8"/>
      </patternFill>
    </fill>
    <fill>
      <patternFill patternType="solid">
        <fgColor theme="8"/>
        <bgColor theme="8"/>
      </patternFill>
    </fill>
    <fill>
      <patternFill patternType="solid">
        <fgColor theme="8" tint="-0.499984740745262"/>
        <bgColor theme="8"/>
      </patternFill>
    </fill>
    <fill>
      <patternFill patternType="solid">
        <fgColor theme="8" tint="0.79998168889431442"/>
        <bgColor theme="8" tint="0.79998168889431442"/>
      </patternFill>
    </fill>
    <fill>
      <patternFill patternType="solid">
        <fgColor rgb="FFDDEBF7"/>
        <bgColor indexed="64"/>
      </patternFill>
    </fill>
  </fills>
  <borders count="12">
    <border>
      <left/>
      <right/>
      <top/>
      <bottom/>
      <diagonal/>
    </border>
    <border>
      <left/>
      <right style="medium">
        <color auto="1"/>
      </right>
      <top/>
      <bottom/>
      <diagonal/>
    </border>
    <border>
      <left style="medium">
        <color auto="1"/>
      </left>
      <right/>
      <top/>
      <bottom/>
      <diagonal/>
    </border>
    <border>
      <left style="thin">
        <color theme="4"/>
      </left>
      <right style="medium">
        <color auto="1"/>
      </right>
      <top style="thin">
        <color theme="4"/>
      </top>
      <bottom/>
      <diagonal/>
    </border>
    <border>
      <left style="medium">
        <color auto="1"/>
      </left>
      <right/>
      <top style="thin">
        <color theme="4"/>
      </top>
      <bottom style="thin">
        <color theme="4"/>
      </bottom>
      <diagonal/>
    </border>
    <border>
      <left/>
      <right/>
      <top/>
      <bottom style="thin">
        <color theme="8" tint="0.39997558519241921"/>
      </bottom>
      <diagonal/>
    </border>
    <border>
      <left style="thin">
        <color theme="8" tint="0.39997558519241921"/>
      </left>
      <right/>
      <top style="thin">
        <color theme="8" tint="0.39997558519241921"/>
      </top>
      <bottom/>
      <diagonal/>
    </border>
    <border>
      <left/>
      <right/>
      <top style="thin">
        <color theme="8" tint="0.39997558519241921"/>
      </top>
      <bottom/>
      <diagonal/>
    </border>
    <border>
      <left/>
      <right style="thin">
        <color theme="8" tint="0.39997558519241921"/>
      </right>
      <top style="thin">
        <color theme="8" tint="0.39997558519241921"/>
      </top>
      <bottom/>
      <diagonal/>
    </border>
    <border>
      <left/>
      <right/>
      <top style="thin">
        <color theme="8" tint="0.39994506668294322"/>
      </top>
      <bottom style="thin">
        <color theme="8" tint="0.39997558519241921"/>
      </bottom>
      <diagonal/>
    </border>
    <border>
      <left style="thin">
        <color theme="4"/>
      </left>
      <right/>
      <top style="thin">
        <color theme="4"/>
      </top>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16" fillId="0" borderId="0" applyNumberFormat="0" applyFill="0" applyBorder="0" applyAlignment="0" applyProtection="0"/>
    <xf numFmtId="9" fontId="23" fillId="0" borderId="0" applyFont="0" applyFill="0" applyBorder="0" applyAlignment="0" applyProtection="0"/>
    <xf numFmtId="0" fontId="5" fillId="0" borderId="0"/>
    <xf numFmtId="9" fontId="5" fillId="0" borderId="0" applyFont="0" applyFill="0" applyBorder="0" applyAlignment="0" applyProtection="0"/>
    <xf numFmtId="43" fontId="23" fillId="0" borderId="0" applyFont="0" applyFill="0" applyBorder="0" applyAlignment="0" applyProtection="0"/>
  </cellStyleXfs>
  <cellXfs count="174">
    <xf numFmtId="0" fontId="0" fillId="0" borderId="0" xfId="0"/>
    <xf numFmtId="0" fontId="6" fillId="0" borderId="1" xfId="1" applyFont="1" applyBorder="1" applyAlignment="1">
      <alignment horizontal="left" vertical="center" wrapText="1"/>
    </xf>
    <xf numFmtId="0" fontId="6" fillId="0" borderId="0" xfId="1" applyFont="1" applyAlignment="1">
      <alignment horizontal="left" vertical="center"/>
    </xf>
    <xf numFmtId="0" fontId="6" fillId="0" borderId="2" xfId="1" applyFont="1" applyBorder="1" applyAlignment="1">
      <alignment horizontal="left" vertical="center"/>
    </xf>
    <xf numFmtId="0" fontId="7" fillId="5" borderId="1" xfId="1" applyFill="1" applyBorder="1" applyAlignment="1">
      <alignment horizontal="left" vertical="center"/>
    </xf>
    <xf numFmtId="0" fontId="8" fillId="0" borderId="1" xfId="1" applyFont="1" applyBorder="1" applyAlignment="1">
      <alignment horizontal="left" vertical="top" wrapText="1"/>
    </xf>
    <xf numFmtId="0" fontId="8" fillId="0" borderId="2" xfId="1" applyFont="1" applyBorder="1" applyAlignment="1">
      <alignment horizontal="left" vertical="top" wrapText="1"/>
    </xf>
    <xf numFmtId="0" fontId="8" fillId="0" borderId="0" xfId="1" applyFont="1" applyAlignment="1">
      <alignment horizontal="left" vertical="top" wrapText="1"/>
    </xf>
    <xf numFmtId="0" fontId="8" fillId="5" borderId="1" xfId="1" applyFont="1" applyFill="1" applyBorder="1" applyAlignment="1">
      <alignment horizontal="left" vertical="center" wrapText="1"/>
    </xf>
    <xf numFmtId="0" fontId="7" fillId="0" borderId="0" xfId="1" applyAlignment="1">
      <alignment horizontal="left" vertical="center"/>
    </xf>
    <xf numFmtId="0" fontId="7" fillId="0" borderId="1" xfId="1" applyBorder="1" applyAlignment="1">
      <alignment horizontal="left" vertical="center" wrapText="1"/>
    </xf>
    <xf numFmtId="0" fontId="7" fillId="0" borderId="2" xfId="1" applyBorder="1" applyAlignment="1">
      <alignment horizontal="left" vertical="center"/>
    </xf>
    <xf numFmtId="0" fontId="7" fillId="0" borderId="1" xfId="1" applyBorder="1" applyAlignment="1">
      <alignment horizontal="left" vertical="center"/>
    </xf>
    <xf numFmtId="0" fontId="8" fillId="0" borderId="1" xfId="1" applyFont="1" applyBorder="1" applyAlignment="1">
      <alignment horizontal="left" vertical="center" wrapText="1"/>
    </xf>
    <xf numFmtId="0" fontId="7" fillId="0" borderId="0" xfId="1" applyAlignment="1">
      <alignment horizontal="left"/>
    </xf>
    <xf numFmtId="0" fontId="8" fillId="0" borderId="1" xfId="1" applyFont="1" applyBorder="1" applyAlignment="1">
      <alignment horizontal="left" wrapText="1"/>
    </xf>
    <xf numFmtId="0" fontId="7" fillId="0" borderId="1" xfId="1" applyBorder="1" applyAlignment="1">
      <alignment horizontal="left" wrapText="1"/>
    </xf>
    <xf numFmtId="0" fontId="7" fillId="0" borderId="2" xfId="1" applyBorder="1" applyAlignment="1">
      <alignment horizontal="left"/>
    </xf>
    <xf numFmtId="0" fontId="10" fillId="0" borderId="2" xfId="1" applyFont="1" applyBorder="1" applyAlignment="1">
      <alignment horizontal="left" vertical="center" wrapText="1"/>
    </xf>
    <xf numFmtId="0" fontId="10" fillId="5" borderId="0" xfId="1" applyFont="1" applyFill="1" applyAlignment="1">
      <alignment horizontal="left" vertical="center" wrapText="1"/>
    </xf>
    <xf numFmtId="0" fontId="10" fillId="0" borderId="0" xfId="1" applyFont="1" applyAlignment="1">
      <alignment horizontal="left" wrapText="1"/>
    </xf>
    <xf numFmtId="0" fontId="10" fillId="0" borderId="0" xfId="1" applyFont="1" applyAlignment="1">
      <alignment horizontal="left" vertical="center" wrapText="1"/>
    </xf>
    <xf numFmtId="0" fontId="14" fillId="0" borderId="1" xfId="1" applyFont="1" applyBorder="1" applyAlignment="1">
      <alignment horizontal="center" vertical="center"/>
    </xf>
    <xf numFmtId="0" fontId="14" fillId="0" borderId="1" xfId="1" applyFont="1" applyBorder="1" applyAlignment="1">
      <alignment horizont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vertical="center" wrapText="1"/>
    </xf>
    <xf numFmtId="0" fontId="0" fillId="0" borderId="0" xfId="0" applyAlignment="1">
      <alignment horizontal="left" vertical="center"/>
    </xf>
    <xf numFmtId="0" fontId="9" fillId="8" borderId="7" xfId="0" applyFont="1" applyFill="1" applyBorder="1" applyAlignment="1">
      <alignment horizontal="left" vertical="center" wrapText="1"/>
    </xf>
    <xf numFmtId="0" fontId="22" fillId="11" borderId="6" xfId="0" applyFont="1" applyFill="1" applyBorder="1" applyAlignment="1">
      <alignment horizontal="left" vertical="center" wrapText="1"/>
    </xf>
    <xf numFmtId="0" fontId="22" fillId="11" borderId="7" xfId="0" applyFont="1" applyFill="1" applyBorder="1" applyAlignment="1">
      <alignment horizontal="left" vertical="center" wrapText="1"/>
    </xf>
    <xf numFmtId="0" fontId="22" fillId="0" borderId="6" xfId="0" applyFont="1" applyBorder="1" applyAlignment="1">
      <alignment horizontal="left" vertical="center" wrapText="1"/>
    </xf>
    <xf numFmtId="0" fontId="22" fillId="0" borderId="7" xfId="0" applyFont="1" applyBorder="1" applyAlignment="1">
      <alignment horizontal="left" vertical="center" wrapText="1"/>
    </xf>
    <xf numFmtId="0" fontId="22" fillId="0" borderId="0" xfId="0" applyFont="1" applyAlignment="1">
      <alignment horizontal="left" vertical="center" wrapText="1"/>
    </xf>
    <xf numFmtId="0" fontId="8" fillId="0" borderId="0" xfId="0" applyFont="1" applyAlignment="1">
      <alignment horizontal="left" vertical="center" wrapText="1"/>
    </xf>
    <xf numFmtId="0" fontId="8" fillId="0" borderId="0" xfId="1" applyFont="1" applyAlignment="1">
      <alignment horizontal="left" vertical="center"/>
    </xf>
    <xf numFmtId="0" fontId="7" fillId="0" borderId="0" xfId="1" applyAlignment="1">
      <alignment horizontal="left" vertical="center" wrapText="1"/>
    </xf>
    <xf numFmtId="0" fontId="9" fillId="8" borderId="6" xfId="0" applyFont="1" applyFill="1" applyBorder="1" applyAlignment="1">
      <alignment vertical="center"/>
    </xf>
    <xf numFmtId="0" fontId="9" fillId="8" borderId="7" xfId="0" applyFont="1" applyFill="1" applyBorder="1" applyAlignment="1">
      <alignment vertical="center"/>
    </xf>
    <xf numFmtId="0" fontId="9" fillId="8" borderId="7" xfId="0" applyFont="1" applyFill="1" applyBorder="1" applyAlignment="1">
      <alignment vertical="center" wrapText="1"/>
    </xf>
    <xf numFmtId="17" fontId="9" fillId="9" borderId="7" xfId="0" applyNumberFormat="1" applyFont="1" applyFill="1" applyBorder="1" applyAlignment="1">
      <alignment vertical="center"/>
    </xf>
    <xf numFmtId="17" fontId="9" fillId="9" borderId="8" xfId="0" applyNumberFormat="1" applyFont="1" applyFill="1" applyBorder="1" applyAlignment="1">
      <alignment vertical="center"/>
    </xf>
    <xf numFmtId="17" fontId="9" fillId="10" borderId="7" xfId="0" applyNumberFormat="1" applyFont="1" applyFill="1" applyBorder="1" applyAlignment="1">
      <alignment vertical="center"/>
    </xf>
    <xf numFmtId="17" fontId="9" fillId="10" borderId="8" xfId="0" applyNumberFormat="1" applyFont="1" applyFill="1" applyBorder="1" applyAlignment="1">
      <alignment vertical="center"/>
    </xf>
    <xf numFmtId="0" fontId="9" fillId="8" borderId="7" xfId="0" applyFont="1" applyFill="1" applyBorder="1" applyAlignment="1">
      <alignment horizontal="center" vertical="center" wrapText="1"/>
    </xf>
    <xf numFmtId="164" fontId="9" fillId="8" borderId="7" xfId="0" applyNumberFormat="1" applyFont="1" applyFill="1" applyBorder="1" applyAlignment="1">
      <alignment horizontal="center" vertical="center" wrapText="1"/>
    </xf>
    <xf numFmtId="0" fontId="4" fillId="0" borderId="0" xfId="0" applyFont="1" applyAlignment="1">
      <alignment vertical="center"/>
    </xf>
    <xf numFmtId="0" fontId="4" fillId="0" borderId="0" xfId="0" applyFont="1" applyAlignment="1">
      <alignment horizontal="left" vertical="center" wrapText="1"/>
    </xf>
    <xf numFmtId="0" fontId="4" fillId="0" borderId="0" xfId="0" applyFont="1" applyAlignment="1">
      <alignment vertical="center" wrapText="1"/>
    </xf>
    <xf numFmtId="0" fontId="4" fillId="0" borderId="0" xfId="0" applyFont="1" applyAlignment="1">
      <alignment horizontal="center" vertical="center" wrapText="1"/>
    </xf>
    <xf numFmtId="164" fontId="4" fillId="0" borderId="0" xfId="0" applyNumberFormat="1" applyFont="1" applyAlignment="1">
      <alignment horizontal="center" vertical="center" wrapText="1"/>
    </xf>
    <xf numFmtId="49" fontId="4" fillId="0" borderId="0" xfId="0" applyNumberFormat="1" applyFont="1" applyAlignment="1">
      <alignment vertical="center"/>
    </xf>
    <xf numFmtId="0" fontId="22" fillId="11" borderId="0" xfId="0" applyFont="1" applyFill="1" applyAlignment="1">
      <alignment horizontal="left" vertical="center" wrapText="1"/>
    </xf>
    <xf numFmtId="165" fontId="4" fillId="0" borderId="0" xfId="0" applyNumberFormat="1" applyFont="1" applyAlignment="1">
      <alignment vertical="center"/>
    </xf>
    <xf numFmtId="0" fontId="3" fillId="0" borderId="0" xfId="0" applyFont="1" applyAlignment="1">
      <alignment vertical="center"/>
    </xf>
    <xf numFmtId="17" fontId="3" fillId="0" borderId="0" xfId="0" applyNumberFormat="1" applyFont="1" applyAlignment="1">
      <alignment vertical="center"/>
    </xf>
    <xf numFmtId="0" fontId="3" fillId="0" borderId="0" xfId="0" applyFont="1" applyAlignment="1">
      <alignment horizontal="left" vertical="center" wrapText="1"/>
    </xf>
    <xf numFmtId="0" fontId="3" fillId="0" borderId="0" xfId="0" applyFont="1" applyAlignment="1">
      <alignment vertical="center" wrapText="1"/>
    </xf>
    <xf numFmtId="0" fontId="3" fillId="0" borderId="0" xfId="0" applyFont="1" applyAlignment="1">
      <alignment horizontal="center" vertical="center" wrapText="1"/>
    </xf>
    <xf numFmtId="164" fontId="3" fillId="0" borderId="0" xfId="0" applyNumberFormat="1" applyFont="1" applyAlignment="1">
      <alignment horizontal="center" vertical="center" wrapText="1"/>
    </xf>
    <xf numFmtId="49" fontId="3" fillId="0" borderId="0" xfId="0" applyNumberFormat="1" applyFont="1" applyAlignment="1">
      <alignment vertical="center"/>
    </xf>
    <xf numFmtId="165" fontId="3" fillId="0" borderId="0" xfId="0" applyNumberFormat="1" applyFont="1" applyAlignment="1">
      <alignment vertical="center"/>
    </xf>
    <xf numFmtId="0" fontId="3" fillId="11" borderId="7" xfId="0" applyFont="1" applyFill="1" applyBorder="1" applyAlignment="1">
      <alignment vertical="center" wrapText="1"/>
    </xf>
    <xf numFmtId="0" fontId="3" fillId="11" borderId="7" xfId="0" applyFont="1" applyFill="1" applyBorder="1" applyAlignment="1">
      <alignment horizontal="center" vertical="center" wrapText="1"/>
    </xf>
    <xf numFmtId="164" fontId="3" fillId="11" borderId="7" xfId="0" applyNumberFormat="1" applyFont="1" applyFill="1" applyBorder="1" applyAlignment="1">
      <alignment horizontal="center" vertical="center" wrapText="1"/>
    </xf>
    <xf numFmtId="9" fontId="3" fillId="11" borderId="7" xfId="3" applyFont="1" applyFill="1" applyBorder="1" applyAlignment="1">
      <alignment horizontal="center" vertical="center"/>
    </xf>
    <xf numFmtId="0" fontId="3" fillId="0" borderId="7" xfId="0" applyFont="1" applyBorder="1" applyAlignment="1">
      <alignment vertical="center" wrapText="1"/>
    </xf>
    <xf numFmtId="0" fontId="3" fillId="0" borderId="7" xfId="0" applyFont="1" applyBorder="1" applyAlignment="1">
      <alignment horizontal="center" vertical="center" wrapText="1"/>
    </xf>
    <xf numFmtId="164" fontId="3" fillId="0" borderId="7" xfId="0" applyNumberFormat="1" applyFont="1" applyBorder="1" applyAlignment="1">
      <alignment horizontal="center" vertical="center" wrapText="1"/>
    </xf>
    <xf numFmtId="9" fontId="3" fillId="0" borderId="7" xfId="3" applyFont="1" applyBorder="1" applyAlignment="1">
      <alignment horizontal="center" vertical="center"/>
    </xf>
    <xf numFmtId="0" fontId="3" fillId="0" borderId="7" xfId="0" applyFont="1" applyBorder="1" applyAlignment="1">
      <alignment horizontal="left" vertical="center" wrapText="1"/>
    </xf>
    <xf numFmtId="0" fontId="3" fillId="11" borderId="7" xfId="0" applyFont="1" applyFill="1" applyBorder="1" applyAlignment="1">
      <alignment horizontal="left" vertical="center" wrapText="1"/>
    </xf>
    <xf numFmtId="0" fontId="3" fillId="11" borderId="0" xfId="0" applyFont="1" applyFill="1" applyAlignment="1">
      <alignment horizontal="center" vertical="center" wrapText="1"/>
    </xf>
    <xf numFmtId="164" fontId="3" fillId="11" borderId="0" xfId="0" applyNumberFormat="1" applyFont="1" applyFill="1" applyAlignment="1">
      <alignment horizontal="center" vertical="center" wrapText="1"/>
    </xf>
    <xf numFmtId="0" fontId="3" fillId="11" borderId="0" xfId="0" applyFont="1" applyFill="1" applyAlignment="1">
      <alignment horizontal="left" vertical="center" wrapText="1"/>
    </xf>
    <xf numFmtId="0" fontId="3" fillId="11" borderId="0" xfId="0" applyFont="1" applyFill="1" applyAlignment="1">
      <alignment vertical="center" wrapText="1"/>
    </xf>
    <xf numFmtId="0" fontId="3" fillId="0" borderId="9" xfId="0" applyFont="1" applyBorder="1" applyAlignment="1">
      <alignment vertical="center" wrapText="1"/>
    </xf>
    <xf numFmtId="9" fontId="3" fillId="0" borderId="0" xfId="3" applyFont="1" applyFill="1" applyBorder="1" applyAlignment="1">
      <alignment horizontal="center" vertical="center"/>
    </xf>
    <xf numFmtId="9" fontId="3" fillId="11" borderId="0" xfId="3" applyFont="1" applyFill="1" applyBorder="1" applyAlignment="1">
      <alignment horizontal="center" vertical="center"/>
    </xf>
    <xf numFmtId="9" fontId="3" fillId="11" borderId="7" xfId="3" applyNumberFormat="1" applyFont="1" applyFill="1" applyBorder="1" applyAlignment="1">
      <alignment horizontal="center" vertical="center"/>
    </xf>
    <xf numFmtId="9" fontId="3" fillId="0" borderId="7" xfId="3" applyNumberFormat="1" applyFont="1" applyBorder="1" applyAlignment="1">
      <alignment horizontal="center" vertical="center"/>
    </xf>
    <xf numFmtId="9" fontId="2" fillId="11" borderId="7" xfId="3" quotePrefix="1" applyNumberFormat="1" applyFont="1" applyFill="1" applyBorder="1" applyAlignment="1">
      <alignment horizontal="center" vertical="center"/>
    </xf>
    <xf numFmtId="9" fontId="3" fillId="11" borderId="7" xfId="3" quotePrefix="1" applyNumberFormat="1" applyFont="1" applyFill="1" applyBorder="1" applyAlignment="1">
      <alignment horizontal="center" vertical="center"/>
    </xf>
    <xf numFmtId="9" fontId="3" fillId="0" borderId="0" xfId="3" applyNumberFormat="1" applyFont="1" applyFill="1" applyBorder="1" applyAlignment="1">
      <alignment horizontal="center" vertical="center"/>
    </xf>
    <xf numFmtId="9" fontId="3" fillId="11" borderId="0" xfId="3" applyNumberFormat="1" applyFont="1" applyFill="1" applyBorder="1" applyAlignment="1">
      <alignment horizontal="center" vertical="center"/>
    </xf>
    <xf numFmtId="0" fontId="10" fillId="0" borderId="0" xfId="0" applyFont="1" applyFill="1" applyAlignment="1">
      <alignment vertical="center"/>
    </xf>
    <xf numFmtId="0" fontId="26" fillId="0" borderId="0" xfId="0" applyFont="1" applyFill="1" applyAlignment="1">
      <alignment horizontal="left" vertical="center" wrapText="1"/>
    </xf>
    <xf numFmtId="0" fontId="10" fillId="0" borderId="0" xfId="0" applyFont="1" applyFill="1" applyAlignment="1">
      <alignment horizontal="left" vertical="center" wrapText="1"/>
    </xf>
    <xf numFmtId="0" fontId="10" fillId="0" borderId="0" xfId="0" applyFont="1" applyFill="1" applyAlignment="1">
      <alignment vertical="center" wrapText="1"/>
    </xf>
    <xf numFmtId="0" fontId="10" fillId="0" borderId="0" xfId="0" applyFont="1" applyFill="1" applyAlignment="1">
      <alignment horizontal="center" vertical="center" wrapText="1"/>
    </xf>
    <xf numFmtId="164" fontId="10" fillId="0" borderId="0" xfId="0" applyNumberFormat="1" applyFont="1" applyFill="1" applyAlignment="1">
      <alignment horizontal="center" vertical="center" wrapText="1"/>
    </xf>
    <xf numFmtId="9" fontId="10" fillId="0" borderId="0" xfId="3" applyFont="1" applyFill="1" applyBorder="1" applyAlignment="1">
      <alignment horizontal="center" vertical="center"/>
    </xf>
    <xf numFmtId="49" fontId="10" fillId="0" borderId="0" xfId="0" applyNumberFormat="1" applyFont="1" applyFill="1" applyAlignment="1">
      <alignment vertical="center"/>
    </xf>
    <xf numFmtId="165" fontId="10" fillId="0" borderId="0" xfId="0" applyNumberFormat="1" applyFont="1" applyFill="1" applyAlignment="1">
      <alignment vertical="center"/>
    </xf>
    <xf numFmtId="0" fontId="10" fillId="0" borderId="0" xfId="0" applyFont="1" applyAlignment="1">
      <alignment vertical="center"/>
    </xf>
    <xf numFmtId="0" fontId="26" fillId="11" borderId="0" xfId="0" applyFont="1" applyFill="1" applyAlignment="1">
      <alignment horizontal="left" vertical="center" wrapText="1"/>
    </xf>
    <xf numFmtId="0" fontId="10" fillId="11" borderId="0" xfId="0" applyFont="1" applyFill="1" applyAlignment="1">
      <alignment horizontal="left" vertical="center" wrapText="1"/>
    </xf>
    <xf numFmtId="0" fontId="10" fillId="11" borderId="0" xfId="0" applyFont="1" applyFill="1" applyAlignment="1">
      <alignment vertical="center" wrapText="1"/>
    </xf>
    <xf numFmtId="0" fontId="10" fillId="11" borderId="0" xfId="0" applyFont="1" applyFill="1" applyAlignment="1">
      <alignment horizontal="center" vertical="center" wrapText="1"/>
    </xf>
    <xf numFmtId="164" fontId="10" fillId="11" borderId="0" xfId="0" applyNumberFormat="1" applyFont="1" applyFill="1" applyAlignment="1">
      <alignment horizontal="center" vertical="center" wrapText="1"/>
    </xf>
    <xf numFmtId="9" fontId="10" fillId="11" borderId="0" xfId="3" applyFont="1" applyFill="1" applyBorder="1" applyAlignment="1">
      <alignment horizontal="center" vertical="center"/>
    </xf>
    <xf numFmtId="49" fontId="10" fillId="0" borderId="0" xfId="0" applyNumberFormat="1" applyFont="1" applyAlignment="1">
      <alignment vertical="center"/>
    </xf>
    <xf numFmtId="165" fontId="10" fillId="0" borderId="0" xfId="0" applyNumberFormat="1" applyFont="1" applyAlignment="1">
      <alignment vertical="center"/>
    </xf>
    <xf numFmtId="9" fontId="10" fillId="11" borderId="7" xfId="3" applyFont="1" applyFill="1" applyBorder="1" applyAlignment="1">
      <alignment horizontal="center" vertical="center"/>
    </xf>
    <xf numFmtId="9" fontId="10" fillId="0" borderId="0" xfId="3" applyNumberFormat="1" applyFont="1" applyFill="1" applyBorder="1" applyAlignment="1">
      <alignment horizontal="center" vertical="center"/>
    </xf>
    <xf numFmtId="0" fontId="27" fillId="4" borderId="3" xfId="1" applyFont="1" applyFill="1" applyBorder="1" applyAlignment="1">
      <alignment horizontal="center" vertical="center"/>
    </xf>
    <xf numFmtId="0" fontId="27" fillId="4" borderId="1" xfId="1" applyFont="1" applyFill="1" applyBorder="1" applyAlignment="1">
      <alignment horizontal="center" vertical="center"/>
    </xf>
    <xf numFmtId="0" fontId="27" fillId="4" borderId="2" xfId="1" applyFont="1" applyFill="1" applyBorder="1" applyAlignment="1">
      <alignment horizontal="center" vertical="center" wrapText="1"/>
    </xf>
    <xf numFmtId="0" fontId="27" fillId="4" borderId="1" xfId="1" applyFont="1" applyFill="1" applyBorder="1" applyAlignment="1">
      <alignment horizontal="center" vertical="center" wrapText="1"/>
    </xf>
    <xf numFmtId="0" fontId="27" fillId="4" borderId="0" xfId="1" applyFont="1" applyFill="1" applyAlignment="1">
      <alignment horizontal="center" vertical="center" wrapText="1"/>
    </xf>
    <xf numFmtId="0" fontId="27" fillId="4" borderId="2" xfId="1" applyFont="1" applyFill="1" applyBorder="1" applyAlignment="1">
      <alignment horizontal="center" vertical="center"/>
    </xf>
    <xf numFmtId="0" fontId="27" fillId="4" borderId="0" xfId="1" applyFont="1" applyFill="1" applyAlignment="1">
      <alignment horizontal="center" vertical="center"/>
    </xf>
    <xf numFmtId="0" fontId="6" fillId="0" borderId="0" xfId="1" applyFont="1" applyAlignment="1">
      <alignment horizontal="center" vertical="center"/>
    </xf>
    <xf numFmtId="0" fontId="1" fillId="12" borderId="10" xfId="1" applyFont="1" applyFill="1" applyBorder="1" applyAlignment="1">
      <alignment horizontal="left" vertical="center" wrapText="1"/>
    </xf>
    <xf numFmtId="0" fontId="7" fillId="12" borderId="11" xfId="1" applyFill="1" applyBorder="1" applyAlignment="1">
      <alignment horizontal="left" vertical="center"/>
    </xf>
    <xf numFmtId="0" fontId="10" fillId="12" borderId="11" xfId="1" applyFont="1" applyFill="1" applyBorder="1" applyAlignment="1">
      <alignment horizontal="left" vertical="center" wrapText="1"/>
    </xf>
    <xf numFmtId="0" fontId="8" fillId="12" borderId="11" xfId="1" applyFont="1" applyFill="1" applyBorder="1" applyAlignment="1">
      <alignment horizontal="left" vertical="top" wrapText="1"/>
    </xf>
    <xf numFmtId="0" fontId="8" fillId="12" borderId="11" xfId="1" applyFont="1" applyFill="1" applyBorder="1" applyAlignment="1">
      <alignment horizontal="left" vertical="center" wrapText="1"/>
    </xf>
    <xf numFmtId="0" fontId="14" fillId="12" borderId="11" xfId="1" applyFont="1" applyFill="1" applyBorder="1" applyAlignment="1">
      <alignment horizontal="center" vertical="center"/>
    </xf>
    <xf numFmtId="0" fontId="7" fillId="0" borderId="11" xfId="1" applyBorder="1" applyAlignment="1">
      <alignment horizontal="left" vertical="center"/>
    </xf>
    <xf numFmtId="0" fontId="8" fillId="0" borderId="11" xfId="1" applyFont="1" applyBorder="1" applyAlignment="1">
      <alignment horizontal="left" vertical="center" wrapText="1"/>
    </xf>
    <xf numFmtId="0" fontId="7" fillId="12" borderId="11" xfId="1" applyFill="1" applyBorder="1" applyAlignment="1">
      <alignment horizontal="left" vertical="center" wrapText="1"/>
    </xf>
    <xf numFmtId="0" fontId="0" fillId="12" borderId="11" xfId="0" applyFill="1" applyBorder="1" applyAlignment="1">
      <alignment horizontal="left" vertical="center"/>
    </xf>
    <xf numFmtId="0" fontId="13" fillId="12" borderId="11" xfId="1" applyFont="1" applyFill="1" applyBorder="1" applyAlignment="1">
      <alignment horizontal="left" vertical="top" wrapText="1"/>
    </xf>
    <xf numFmtId="0" fontId="8" fillId="12" borderId="11" xfId="0" applyFont="1" applyFill="1" applyBorder="1" applyAlignment="1">
      <alignment horizontal="left" vertical="top" wrapText="1"/>
    </xf>
    <xf numFmtId="0" fontId="1" fillId="0" borderId="0" xfId="1" applyFont="1" applyAlignment="1">
      <alignment horizontal="left" vertical="center"/>
    </xf>
    <xf numFmtId="0" fontId="15" fillId="12" borderId="11" xfId="0" quotePrefix="1" applyFont="1" applyFill="1" applyBorder="1" applyAlignment="1">
      <alignment wrapText="1"/>
    </xf>
    <xf numFmtId="0" fontId="13" fillId="12" borderId="11" xfId="1" applyFont="1" applyFill="1" applyBorder="1" applyAlignment="1">
      <alignment horizontal="left" vertical="center" wrapText="1"/>
    </xf>
    <xf numFmtId="0" fontId="15" fillId="12" borderId="11" xfId="0" applyFont="1" applyFill="1" applyBorder="1" applyAlignment="1">
      <alignment wrapText="1"/>
    </xf>
    <xf numFmtId="0" fontId="8" fillId="12" borderId="11" xfId="0" quotePrefix="1" applyFont="1" applyFill="1" applyBorder="1" applyAlignment="1">
      <alignment horizontal="left" vertical="top" wrapText="1"/>
    </xf>
    <xf numFmtId="0" fontId="6" fillId="12" borderId="11" xfId="0" applyFont="1" applyFill="1" applyBorder="1" applyAlignment="1">
      <alignment horizontal="left" vertical="center" wrapText="1"/>
    </xf>
    <xf numFmtId="0" fontId="0" fillId="12" borderId="11" xfId="0" applyFill="1" applyBorder="1" applyAlignment="1">
      <alignment wrapText="1"/>
    </xf>
    <xf numFmtId="0" fontId="1" fillId="12" borderId="11" xfId="1" applyFont="1" applyFill="1" applyBorder="1" applyAlignment="1">
      <alignment horizontal="left" vertical="center"/>
    </xf>
    <xf numFmtId="0" fontId="0" fillId="12" borderId="11" xfId="0" applyFill="1" applyBorder="1" applyAlignment="1">
      <alignment vertical="center" wrapText="1"/>
    </xf>
    <xf numFmtId="0" fontId="8" fillId="12" borderId="11" xfId="1" applyFont="1" applyFill="1" applyBorder="1" applyAlignment="1">
      <alignment horizontal="left" vertical="center"/>
    </xf>
    <xf numFmtId="0" fontId="24" fillId="12" borderId="11" xfId="0" applyFont="1" applyFill="1" applyBorder="1" applyAlignment="1">
      <alignment horizontal="left" vertical="center" wrapText="1"/>
    </xf>
    <xf numFmtId="0" fontId="25" fillId="12" borderId="11" xfId="0" applyFont="1" applyFill="1" applyBorder="1" applyAlignment="1">
      <alignment horizontal="left" vertical="center" wrapText="1"/>
    </xf>
    <xf numFmtId="0" fontId="8" fillId="12" borderId="11" xfId="0" applyFont="1" applyFill="1" applyBorder="1" applyAlignment="1">
      <alignment horizontal="left" vertical="center" wrapText="1"/>
    </xf>
    <xf numFmtId="0" fontId="13" fillId="12" borderId="11" xfId="1" applyFont="1" applyFill="1" applyBorder="1" applyAlignment="1">
      <alignment horizontal="left" vertical="center"/>
    </xf>
    <xf numFmtId="0" fontId="8" fillId="0" borderId="11" xfId="1" applyFont="1" applyBorder="1" applyAlignment="1">
      <alignment horizontal="left" vertical="center"/>
    </xf>
    <xf numFmtId="0" fontId="18" fillId="12" borderId="11" xfId="0" applyFont="1" applyFill="1" applyBorder="1" applyAlignment="1">
      <alignment wrapText="1"/>
    </xf>
    <xf numFmtId="0" fontId="17" fillId="12" borderId="11" xfId="0" applyFont="1" applyFill="1" applyBorder="1" applyAlignment="1">
      <alignment wrapText="1"/>
    </xf>
    <xf numFmtId="0" fontId="1" fillId="0" borderId="11" xfId="1" applyFont="1" applyBorder="1" applyAlignment="1">
      <alignment horizontal="left" vertical="center"/>
    </xf>
    <xf numFmtId="0" fontId="7" fillId="12" borderId="10" xfId="1" applyFill="1" applyBorder="1" applyAlignment="1">
      <alignment horizontal="left" vertical="center" wrapText="1"/>
    </xf>
    <xf numFmtId="0" fontId="7" fillId="12" borderId="0" xfId="1" applyFill="1" applyAlignment="1">
      <alignment horizontal="left"/>
    </xf>
    <xf numFmtId="0" fontId="19" fillId="12" borderId="11" xfId="0" applyFont="1" applyFill="1" applyBorder="1" applyAlignment="1">
      <alignment vertical="center" wrapText="1"/>
    </xf>
    <xf numFmtId="0" fontId="17" fillId="12" borderId="11" xfId="0" applyFont="1" applyFill="1" applyBorder="1" applyAlignment="1">
      <alignment vertical="center" wrapText="1"/>
    </xf>
    <xf numFmtId="0" fontId="1" fillId="0" borderId="0" xfId="1" applyFont="1" applyAlignment="1">
      <alignment horizontal="left" vertical="center" wrapText="1"/>
    </xf>
    <xf numFmtId="0" fontId="7" fillId="6" borderId="11" xfId="1" applyFill="1" applyBorder="1" applyAlignment="1">
      <alignment horizontal="left" vertical="center"/>
    </xf>
    <xf numFmtId="0" fontId="11" fillId="12" borderId="11" xfId="0" applyFont="1" applyFill="1" applyBorder="1" applyAlignment="1">
      <alignment wrapText="1"/>
    </xf>
    <xf numFmtId="0" fontId="7" fillId="7" borderId="11" xfId="1" applyFill="1" applyBorder="1" applyAlignment="1">
      <alignment horizontal="left" vertical="center"/>
    </xf>
    <xf numFmtId="0" fontId="8" fillId="3" borderId="11" xfId="1" applyFont="1" applyFill="1" applyBorder="1" applyAlignment="1">
      <alignment horizontal="left" vertical="center" wrapText="1"/>
    </xf>
    <xf numFmtId="0" fontId="20" fillId="0" borderId="11" xfId="0" quotePrefix="1" applyFont="1" applyBorder="1" applyAlignment="1">
      <alignment horizontal="left" vertical="center" wrapText="1"/>
    </xf>
    <xf numFmtId="0" fontId="8" fillId="0" borderId="11" xfId="1" quotePrefix="1" applyFont="1" applyBorder="1" applyAlignment="1">
      <alignment horizontal="left" vertical="center" wrapText="1"/>
    </xf>
    <xf numFmtId="0" fontId="1" fillId="2" borderId="11" xfId="1" applyFont="1" applyFill="1" applyBorder="1" applyAlignment="1">
      <alignment horizontal="left" vertical="center"/>
    </xf>
    <xf numFmtId="0" fontId="21" fillId="0" borderId="11" xfId="0" applyFont="1" applyBorder="1" applyAlignment="1">
      <alignment wrapText="1"/>
    </xf>
    <xf numFmtId="0" fontId="21" fillId="0" borderId="11" xfId="1" applyFont="1" applyBorder="1" applyAlignment="1">
      <alignment horizontal="left" vertical="center" wrapText="1"/>
    </xf>
    <xf numFmtId="0" fontId="1" fillId="6" borderId="11" xfId="1" applyFont="1" applyFill="1" applyBorder="1" applyAlignment="1">
      <alignment horizontal="left" vertical="center"/>
    </xf>
    <xf numFmtId="0" fontId="20" fillId="0" borderId="11" xfId="0" quotePrefix="1" applyFont="1" applyBorder="1" applyAlignment="1">
      <alignment vertical="top" wrapText="1"/>
    </xf>
    <xf numFmtId="0" fontId="20" fillId="12" borderId="11" xfId="0" applyFont="1" applyFill="1" applyBorder="1" applyAlignment="1">
      <alignment horizontal="left" vertical="center"/>
    </xf>
    <xf numFmtId="0" fontId="1" fillId="12" borderId="11" xfId="1" applyFont="1" applyFill="1" applyBorder="1" applyAlignment="1">
      <alignment horizontal="left" vertical="center" wrapText="1"/>
    </xf>
    <xf numFmtId="0" fontId="20" fillId="0" borderId="11" xfId="0" applyFont="1" applyBorder="1" applyAlignment="1">
      <alignment vertical="center" wrapText="1"/>
    </xf>
    <xf numFmtId="0" fontId="1" fillId="12" borderId="11" xfId="0" applyFont="1" applyFill="1" applyBorder="1" applyAlignment="1">
      <alignment horizontal="justify" vertical="center"/>
    </xf>
    <xf numFmtId="0" fontId="13" fillId="12" borderId="4" xfId="1" applyFont="1" applyFill="1" applyBorder="1" applyAlignment="1">
      <alignment horizontal="left" vertical="center" wrapText="1"/>
    </xf>
    <xf numFmtId="0" fontId="12" fillId="12" borderId="11" xfId="0" applyFont="1" applyFill="1" applyBorder="1" applyAlignment="1">
      <alignment wrapText="1" readingOrder="1"/>
    </xf>
    <xf numFmtId="0" fontId="10" fillId="12" borderId="4" xfId="1" applyFont="1" applyFill="1" applyBorder="1" applyAlignment="1">
      <alignment horizontal="left" vertical="center" wrapText="1"/>
    </xf>
    <xf numFmtId="0" fontId="21" fillId="3" borderId="11" xfId="1" applyFont="1" applyFill="1" applyBorder="1" applyAlignment="1">
      <alignment horizontal="left" vertical="center" wrapText="1"/>
    </xf>
    <xf numFmtId="0" fontId="1" fillId="0" borderId="0" xfId="1" applyFont="1" applyAlignment="1">
      <alignment horizontal="left"/>
    </xf>
    <xf numFmtId="0" fontId="8" fillId="3" borderId="11" xfId="1" quotePrefix="1" applyFont="1" applyFill="1" applyBorder="1" applyAlignment="1">
      <alignment horizontal="left" vertical="center" wrapText="1"/>
    </xf>
    <xf numFmtId="0" fontId="7" fillId="12" borderId="0" xfId="1" applyFill="1" applyAlignment="1">
      <alignment horizontal="left" wrapText="1"/>
    </xf>
    <xf numFmtId="0" fontId="1" fillId="0" borderId="0" xfId="1" applyFont="1" applyAlignment="1">
      <alignment horizontal="left" wrapText="1"/>
    </xf>
    <xf numFmtId="0" fontId="20" fillId="0" borderId="11" xfId="0" applyFont="1" applyBorder="1" applyAlignment="1">
      <alignment horizontal="left" vertical="top" wrapText="1"/>
    </xf>
    <xf numFmtId="0" fontId="1" fillId="5" borderId="3" xfId="1" applyFont="1" applyFill="1" applyBorder="1" applyAlignment="1">
      <alignment horizontal="left" vertical="center" wrapText="1"/>
    </xf>
    <xf numFmtId="0" fontId="3" fillId="0" borderId="5" xfId="0" applyFont="1" applyBorder="1" applyAlignment="1">
      <alignment horizontal="left" vertical="center"/>
    </xf>
  </cellXfs>
  <cellStyles count="7">
    <cellStyle name="Hyperlink" xfId="2" xr:uid="{00000000-000B-0000-0000-000008000000}"/>
    <cellStyle name="Normal" xfId="0" builtinId="0"/>
    <cellStyle name="Normal 2" xfId="1" xr:uid="{9083BE8B-9C60-684F-92D8-1ABBA6904B7D}"/>
    <cellStyle name="Normal 3" xfId="4" xr:uid="{3F026208-3226-48F1-8BBF-E04525B90ED6}"/>
    <cellStyle name="Porcentagem" xfId="3" builtinId="5"/>
    <cellStyle name="Porcentagem 2" xfId="5" xr:uid="{6265D575-92E3-43D1-ABF4-5F407DEA169B}"/>
    <cellStyle name="Vírgula 2" xfId="6" xr:uid="{6BDCA73A-0691-43FC-BBAB-4833E3F7F0B1}"/>
  </cellStyles>
  <dxfs count="21">
    <dxf>
      <fill>
        <patternFill patternType="solid">
          <fgColor indexed="64"/>
          <bgColor rgb="FFDDEBF7"/>
        </patternFill>
      </fill>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strike val="0"/>
        <outline val="0"/>
        <shadow val="0"/>
        <u val="none"/>
        <vertAlign val="baseline"/>
        <sz val="14"/>
        <color theme="1"/>
        <name val="Calibri"/>
        <family val="2"/>
        <scheme val="minor"/>
      </font>
      <numFmt numFmtId="0" formatCode="General"/>
      <fill>
        <patternFill patternType="solid">
          <fgColor indexed="64"/>
          <bgColor rgb="FFDDEBF7"/>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1"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i val="0"/>
        <strike val="0"/>
        <condense val="0"/>
        <extend val="0"/>
        <outline val="0"/>
        <shadow val="0"/>
        <u val="none"/>
        <vertAlign val="baseline"/>
        <sz val="11"/>
        <color theme="1"/>
        <name val="Calibri"/>
        <scheme val="minor"/>
      </font>
      <fill>
        <patternFill patternType="solid">
          <fgColor indexed="64"/>
          <bgColor rgb="FFDDEBF7"/>
        </patternFill>
      </fill>
      <alignment horizontal="left" vertical="center"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theme="1"/>
        <name val="Calibri"/>
        <scheme val="minor"/>
      </font>
      <fill>
        <patternFill patternType="solid">
          <fgColor indexed="64"/>
          <bgColor rgb="FFDDEBF7"/>
        </patternFill>
      </fill>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font>
      <fill>
        <patternFill patternType="solid">
          <fgColor indexed="64"/>
          <bgColor rgb="FFDDEBF7"/>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ill>
        <patternFill patternType="solid">
          <fgColor indexed="64"/>
          <bgColor rgb="FFDDEBF7"/>
        </patternFill>
      </fill>
      <alignment horizontal="left" vertical="center" textRotation="0" wrapText="0" indent="0" justifyLastLine="0" shrinkToFit="0" readingOrder="0"/>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textRotation="0" wrapText="0" indent="0" justifyLastLine="0" shrinkToFit="0" readingOrder="0"/>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bbr-my.sharepoint.com/personal/john_gardenghi_unb_br/Documents/UnB/itrac/pmo/planilhas/Projetos%20Startup%20GOV.BR%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0-Report"/>
      <sheetName val="01-Projetos"/>
      <sheetName val="02-Alocação"/>
      <sheetName val="03-Perfil por Projeto"/>
      <sheetName val="04-Ficha do Projeto"/>
      <sheetName val="05-Alocação Geral"/>
      <sheetName val="06-Apoio-KPIs consolidados"/>
      <sheetName val="00-NovoReport"/>
      <sheetName val="Apoio-Desempenho"/>
      <sheetName val="Apoio-Metadados"/>
      <sheetName val="Apoio-Perfis"/>
      <sheetName val="Apoio-Projetos e Areas"/>
      <sheetName val="Apoio-Status"/>
      <sheetName val="Apoio-Orgãos"/>
      <sheetName val="Controle Contratados - CGGOV"/>
      <sheetName val="Projetos Startup GOV.BR v05"/>
    </sheetNames>
    <sheetDataSet>
      <sheetData sheetId="0" refreshError="1"/>
      <sheetData sheetId="1"/>
      <sheetData sheetId="2" refreshError="1"/>
      <sheetData sheetId="3" refreshError="1"/>
      <sheetData sheetId="4" refreshError="1"/>
      <sheetData sheetId="5" refreshError="1"/>
      <sheetData sheetId="6"/>
      <sheetData sheetId="7"/>
      <sheetData sheetId="8" refreshError="1"/>
      <sheetData sheetId="9"/>
      <sheetData sheetId="10" refreshError="1"/>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RAFAEL FERNANDES LOPES DE OLIVEIRA" id="{7C2DA126-F7B4-452C-9C46-A99D11118326}" userId="S::rafael.l.oliveira@economia.gov.br::170dfa32-875c-4e66-ba8f-d31321ee6be0"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7BE6AC-38C7-0648-AEDD-9619FC75B0BB}" name="Tabela2" displayName="Tabela2" ref="C1:U67" totalsRowShown="0" headerRowDxfId="20" dataDxfId="19">
  <autoFilter ref="C1:U67" xr:uid="{BD03ABAB-91F4-A943-B06F-EBF47849E20C}"/>
  <sortState xmlns:xlrd2="http://schemas.microsoft.com/office/spreadsheetml/2017/richdata2" ref="C2:U67">
    <sortCondition ref="I1:I67"/>
  </sortState>
  <tableColumns count="19">
    <tableColumn id="2" xr3:uid="{FC3A1DD9-CB38-3F48-9EFF-847F914A8312}" name="Sigla Orgão" dataDxfId="18"/>
    <tableColumn id="3" xr3:uid="{FF3EB18A-E93F-B847-83C7-1D930877624F}" name="Nome do projeto" dataDxfId="17"/>
    <tableColumn id="4" xr3:uid="{098DE724-8045-2941-860C-845252F0C94A}" name="Escopo do Projeto" dataDxfId="16"/>
    <tableColumn id="5" xr3:uid="{0C968A24-083F-7548-9BBB-F638850BA879}" name="Números do Projeto" dataDxfId="15"/>
    <tableColumn id="6" xr3:uid="{A73B1BE5-89CF-F144-BDE8-EBE65D814AAE}" name="Recomendação de Implantação" dataDxfId="14"/>
    <tableColumn id="7" xr3:uid="{25D22CB6-1A84-2E4A-93DC-59A023D6C7CD}" name="Motivo Recomendação" dataDxfId="13"/>
    <tableColumn id="8" xr3:uid="{675B817E-1263-9647-AC5A-54BB6E17AD2D}" name="Status do Projeto" dataDxfId="12"/>
    <tableColumn id="9" xr3:uid="{C2620F67-BF6B-2A48-BF85-8382C1771EAC}" name="Fase" dataDxfId="11"/>
    <tableColumn id="12" xr3:uid="{B92EC56B-EDE5-A94C-BA6A-89B07CD0671A}" name="Substituto" dataDxfId="10"/>
    <tableColumn id="13" xr3:uid="{81522294-650F-304E-ACBF-D247BC968CD5}" name="Líder no Órgão" dataDxfId="9"/>
    <tableColumn id="1" xr3:uid="{0C69CDC6-8357-9947-BFCE-1148E1B630C7}" name="Líder do SQUAD" dataDxfId="8" dataCellStyle="Normal 2"/>
    <tableColumn id="17" xr3:uid="{C5A4ABED-9219-E941-9F05-FBFAAE666C4A}" name="Gestão" dataDxfId="7"/>
    <tableColumn id="18" xr3:uid="{245F553E-6989-FF41-9A0E-D2265744D3B4}" name="Equipe SGD" dataDxfId="6"/>
    <tableColumn id="19" xr3:uid="{48B648A7-9C63-1D4D-844A-62DAC405F7AB}" name="Temporários" dataDxfId="5"/>
    <tableColumn id="24" xr3:uid="{3B5D5996-9934-FD42-92CA-0C1A2F313609}" name="Pessoas Alocadas" dataDxfId="4"/>
    <tableColumn id="20" xr3:uid="{F799E5E7-6FD5-1742-9E50-FB4FC6091312}" name="Nível de Risco" dataDxfId="3"/>
    <tableColumn id="21" xr3:uid="{F9779C76-D0CB-744D-A211-12C37840C2D5}" name="Pontos de Atenção" dataDxfId="2"/>
    <tableColumn id="10" xr3:uid="{4459B391-E1CD-A644-B708-83E222505411}" name="Relato" dataDxfId="1"/>
    <tableColumn id="11" xr3:uid="{DE994C60-11F4-064C-BFA2-357D016FCC59}" name="Processo SEI" dataDxfId="0"/>
  </tableColumns>
  <tableStyleInfo name="TableStyleLight9"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 dT="2021-05-13T19:59:35.54" personId="{7C2DA126-F7B4-452C-9C46-A99D11118326}" id="{EFE76E59-F899-4542-8E84-5A08D39BCB6A}">
    <text>O valor base é o valor inicial do Key Result obtido no início do ciclo de OKR.</text>
  </threadedComment>
  <threadedComment ref="J2" dT="2021-05-13T20:00:08.55" personId="{7C2DA126-F7B4-452C-9C46-A99D11118326}" id="{CE67CE48-8ACB-4734-875E-356EEC8ED543}">
    <text>Este é o valor da meta a ser atingida até o fim do ciclo de OKR.</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4E338-878F-504A-BA64-1282AD14D514}">
  <dimension ref="A1:U103"/>
  <sheetViews>
    <sheetView tabSelected="1" zoomScaleNormal="100" workbookViewId="0">
      <selection activeCell="E4" sqref="E4"/>
    </sheetView>
  </sheetViews>
  <sheetFormatPr defaultColWidth="33.375" defaultRowHeight="18.75" outlineLevelCol="1" x14ac:dyDescent="0.3"/>
  <cols>
    <col min="1" max="1" width="33.375" style="14"/>
    <col min="2" max="2" width="15.625" style="14" customWidth="1" outlineLevel="1"/>
    <col min="3" max="3" width="14.625" style="12" bestFit="1" customWidth="1"/>
    <col min="4" max="4" width="28.375" style="18" customWidth="1"/>
    <col min="5" max="5" width="62" style="5" customWidth="1"/>
    <col min="6" max="6" width="48.625" style="6" customWidth="1" outlineLevel="1"/>
    <col min="7" max="7" width="16.5" style="7" customWidth="1" outlineLevel="1"/>
    <col min="8" max="8" width="20.375" style="7" customWidth="1" outlineLevel="1"/>
    <col min="9" max="9" width="18.125" style="20" bestFit="1" customWidth="1"/>
    <col min="10" max="10" width="16.125" style="15" customWidth="1"/>
    <col min="11" max="11" width="11.875" style="14" customWidth="1" outlineLevel="1"/>
    <col min="12" max="12" width="15.625" style="16" customWidth="1" outlineLevel="1"/>
    <col min="13" max="13" width="15.625" style="20" customWidth="1"/>
    <col min="14" max="14" width="10.625" style="17" customWidth="1" outlineLevel="1"/>
    <col min="15" max="15" width="14.625" style="14" customWidth="1" outlineLevel="1"/>
    <col min="16" max="16" width="15.625" style="14" customWidth="1" outlineLevel="1"/>
    <col min="17" max="17" width="17.625" style="23" bestFit="1" customWidth="1"/>
    <col min="18" max="18" width="14.875" style="17" bestFit="1" customWidth="1"/>
    <col min="19" max="19" width="57.125" style="5" customWidth="1"/>
    <col min="20" max="20" width="91.625" style="14" customWidth="1"/>
    <col min="21" max="16384" width="33.375" style="14"/>
  </cols>
  <sheetData>
    <row r="1" spans="1:21" s="112" customFormat="1" ht="56.25" x14ac:dyDescent="0.25">
      <c r="A1" s="112" t="s">
        <v>389</v>
      </c>
      <c r="B1" s="105" t="s">
        <v>19</v>
      </c>
      <c r="C1" s="106" t="s">
        <v>20</v>
      </c>
      <c r="D1" s="107" t="s">
        <v>21</v>
      </c>
      <c r="E1" s="108" t="s">
        <v>22</v>
      </c>
      <c r="F1" s="107" t="s">
        <v>23</v>
      </c>
      <c r="G1" s="109" t="s">
        <v>24</v>
      </c>
      <c r="H1" s="109" t="s">
        <v>25</v>
      </c>
      <c r="I1" s="109" t="s">
        <v>26</v>
      </c>
      <c r="J1" s="108" t="s">
        <v>27</v>
      </c>
      <c r="K1" s="2" t="s">
        <v>28</v>
      </c>
      <c r="L1" s="1" t="s">
        <v>29</v>
      </c>
      <c r="M1" s="107" t="s">
        <v>30</v>
      </c>
      <c r="N1" s="3" t="s">
        <v>31</v>
      </c>
      <c r="O1" s="2" t="s">
        <v>32</v>
      </c>
      <c r="P1" s="2" t="s">
        <v>33</v>
      </c>
      <c r="Q1" s="106" t="s">
        <v>34</v>
      </c>
      <c r="R1" s="110" t="s">
        <v>35</v>
      </c>
      <c r="S1" s="108" t="s">
        <v>4</v>
      </c>
      <c r="T1" s="111" t="s">
        <v>5</v>
      </c>
      <c r="U1" s="111" t="s">
        <v>36</v>
      </c>
    </row>
    <row r="2" spans="1:21" ht="204" x14ac:dyDescent="0.25">
      <c r="A2" s="14">
        <v>1001</v>
      </c>
      <c r="B2" s="113" t="s">
        <v>344</v>
      </c>
      <c r="C2" s="114" t="s">
        <v>104</v>
      </c>
      <c r="D2" s="115" t="s">
        <v>108</v>
      </c>
      <c r="E2" s="116" t="s">
        <v>109</v>
      </c>
      <c r="F2" s="116" t="s">
        <v>110</v>
      </c>
      <c r="G2" s="116" t="s">
        <v>111</v>
      </c>
      <c r="H2" s="116" t="s">
        <v>112</v>
      </c>
      <c r="I2" s="115" t="s">
        <v>113</v>
      </c>
      <c r="J2" s="117" t="s">
        <v>114</v>
      </c>
      <c r="K2" s="9"/>
      <c r="L2" s="36"/>
      <c r="M2" s="115"/>
      <c r="N2" s="9"/>
      <c r="O2" s="9"/>
      <c r="P2" s="9"/>
      <c r="Q2" s="118">
        <v>0</v>
      </c>
      <c r="R2" s="119"/>
      <c r="S2" s="120"/>
      <c r="T2" s="119"/>
      <c r="U2" s="114"/>
    </row>
    <row r="3" spans="1:21" ht="76.5" x14ac:dyDescent="0.25">
      <c r="A3" s="14">
        <v>1002</v>
      </c>
      <c r="B3" s="113" t="s">
        <v>344</v>
      </c>
      <c r="C3" s="114" t="s">
        <v>121</v>
      </c>
      <c r="D3" s="115" t="s">
        <v>122</v>
      </c>
      <c r="E3" s="116" t="s">
        <v>123</v>
      </c>
      <c r="F3" s="116" t="s">
        <v>124</v>
      </c>
      <c r="G3" s="116" t="s">
        <v>111</v>
      </c>
      <c r="H3" s="116" t="s">
        <v>125</v>
      </c>
      <c r="I3" s="115" t="s">
        <v>113</v>
      </c>
      <c r="J3" s="117" t="s">
        <v>114</v>
      </c>
      <c r="K3" s="9"/>
      <c r="L3" s="36"/>
      <c r="M3" s="115"/>
      <c r="N3" s="9"/>
      <c r="O3" s="9"/>
      <c r="P3" s="9"/>
      <c r="Q3" s="118">
        <v>0</v>
      </c>
      <c r="R3" s="119"/>
      <c r="S3" s="120"/>
      <c r="T3" s="119"/>
      <c r="U3" s="114"/>
    </row>
    <row r="4" spans="1:21" ht="114.75" x14ac:dyDescent="0.25">
      <c r="A4" s="14">
        <v>1003</v>
      </c>
      <c r="B4" s="113" t="s">
        <v>344</v>
      </c>
      <c r="C4" s="114" t="s">
        <v>121</v>
      </c>
      <c r="D4" s="115" t="s">
        <v>126</v>
      </c>
      <c r="E4" s="116" t="s">
        <v>127</v>
      </c>
      <c r="F4" s="116" t="s">
        <v>128</v>
      </c>
      <c r="G4" s="116" t="s">
        <v>119</v>
      </c>
      <c r="H4" s="116" t="s">
        <v>129</v>
      </c>
      <c r="I4" s="115" t="s">
        <v>113</v>
      </c>
      <c r="J4" s="117" t="s">
        <v>114</v>
      </c>
      <c r="K4" s="9"/>
      <c r="L4" s="36"/>
      <c r="M4" s="115"/>
      <c r="N4" s="9"/>
      <c r="O4" s="9"/>
      <c r="P4" s="9"/>
      <c r="Q4" s="118">
        <v>0</v>
      </c>
      <c r="R4" s="119"/>
      <c r="S4" s="120"/>
      <c r="T4" s="119"/>
      <c r="U4" s="114"/>
    </row>
    <row r="5" spans="1:21" ht="89.25" x14ac:dyDescent="0.25">
      <c r="A5" s="14">
        <v>1004</v>
      </c>
      <c r="B5" s="113" t="s">
        <v>344</v>
      </c>
      <c r="C5" s="114" t="s">
        <v>130</v>
      </c>
      <c r="D5" s="115" t="s">
        <v>131</v>
      </c>
      <c r="E5" s="116" t="s">
        <v>132</v>
      </c>
      <c r="F5" s="116" t="s">
        <v>133</v>
      </c>
      <c r="G5" s="116" t="s">
        <v>134</v>
      </c>
      <c r="H5" s="116" t="s">
        <v>135</v>
      </c>
      <c r="I5" s="115" t="s">
        <v>113</v>
      </c>
      <c r="J5" s="117" t="s">
        <v>114</v>
      </c>
      <c r="K5" s="9"/>
      <c r="L5" s="36"/>
      <c r="M5" s="115"/>
      <c r="N5" s="9"/>
      <c r="O5" s="9"/>
      <c r="P5" s="9"/>
      <c r="Q5" s="118">
        <v>0</v>
      </c>
      <c r="R5" s="119"/>
      <c r="S5" s="120"/>
      <c r="T5" s="119"/>
      <c r="U5" s="114"/>
    </row>
    <row r="6" spans="1:21" ht="89.25" x14ac:dyDescent="0.25">
      <c r="A6" s="14">
        <v>1005</v>
      </c>
      <c r="B6" s="113" t="s">
        <v>343</v>
      </c>
      <c r="C6" s="114" t="s">
        <v>130</v>
      </c>
      <c r="D6" s="115" t="s">
        <v>136</v>
      </c>
      <c r="E6" s="116" t="s">
        <v>137</v>
      </c>
      <c r="F6" s="116" t="s">
        <v>138</v>
      </c>
      <c r="G6" s="116" t="s">
        <v>134</v>
      </c>
      <c r="H6" s="116" t="s">
        <v>139</v>
      </c>
      <c r="I6" s="115" t="s">
        <v>113</v>
      </c>
      <c r="J6" s="117" t="s">
        <v>114</v>
      </c>
      <c r="K6" s="9"/>
      <c r="L6" s="36"/>
      <c r="M6" s="115"/>
      <c r="N6" s="9"/>
      <c r="O6" s="9"/>
      <c r="P6" s="9"/>
      <c r="Q6" s="118">
        <v>0</v>
      </c>
      <c r="R6" s="119"/>
      <c r="S6" s="120"/>
      <c r="T6" s="119"/>
      <c r="U6" s="114"/>
    </row>
    <row r="7" spans="1:21" ht="165.75" x14ac:dyDescent="0.25">
      <c r="A7" s="14">
        <v>1006</v>
      </c>
      <c r="B7" s="113" t="s">
        <v>343</v>
      </c>
      <c r="C7" s="114" t="s">
        <v>140</v>
      </c>
      <c r="D7" s="115" t="s">
        <v>141</v>
      </c>
      <c r="E7" s="116" t="s">
        <v>142</v>
      </c>
      <c r="F7" s="116" t="s">
        <v>143</v>
      </c>
      <c r="G7" s="116" t="s">
        <v>134</v>
      </c>
      <c r="H7" s="116" t="s">
        <v>139</v>
      </c>
      <c r="I7" s="115" t="s">
        <v>113</v>
      </c>
      <c r="J7" s="117" t="s">
        <v>114</v>
      </c>
      <c r="K7" s="9"/>
      <c r="L7" s="36"/>
      <c r="M7" s="115"/>
      <c r="N7" s="9"/>
      <c r="O7" s="9"/>
      <c r="P7" s="9"/>
      <c r="Q7" s="118">
        <v>0</v>
      </c>
      <c r="R7" s="119"/>
      <c r="S7" s="120"/>
      <c r="T7" s="119"/>
      <c r="U7" s="114"/>
    </row>
    <row r="8" spans="1:21" ht="60" x14ac:dyDescent="0.25">
      <c r="A8" s="14">
        <v>1007</v>
      </c>
      <c r="B8" s="113" t="s">
        <v>284</v>
      </c>
      <c r="C8" s="114" t="s">
        <v>85</v>
      </c>
      <c r="D8" s="115" t="s">
        <v>144</v>
      </c>
      <c r="E8" s="116" t="s">
        <v>145</v>
      </c>
      <c r="F8" s="116" t="s">
        <v>146</v>
      </c>
      <c r="G8" s="116" t="s">
        <v>134</v>
      </c>
      <c r="H8" s="116" t="s">
        <v>147</v>
      </c>
      <c r="I8" s="115" t="s">
        <v>113</v>
      </c>
      <c r="J8" s="117" t="s">
        <v>114</v>
      </c>
      <c r="K8" s="9"/>
      <c r="L8" s="36"/>
      <c r="M8" s="115"/>
      <c r="N8" s="9"/>
      <c r="O8" s="9"/>
      <c r="P8" s="9"/>
      <c r="Q8" s="118">
        <v>0</v>
      </c>
      <c r="R8" s="119"/>
      <c r="S8" s="120"/>
      <c r="T8" s="119"/>
      <c r="U8" s="114"/>
    </row>
    <row r="9" spans="1:21" ht="89.25" x14ac:dyDescent="0.25">
      <c r="A9" s="14">
        <v>1008</v>
      </c>
      <c r="B9" s="113" t="s">
        <v>346</v>
      </c>
      <c r="C9" s="114" t="s">
        <v>154</v>
      </c>
      <c r="D9" s="115" t="s">
        <v>155</v>
      </c>
      <c r="E9" s="116" t="s">
        <v>156</v>
      </c>
      <c r="F9" s="116" t="s">
        <v>157</v>
      </c>
      <c r="G9" s="116" t="s">
        <v>111</v>
      </c>
      <c r="H9" s="116" t="s">
        <v>135</v>
      </c>
      <c r="I9" s="115" t="s">
        <v>113</v>
      </c>
      <c r="J9" s="117" t="s">
        <v>114</v>
      </c>
      <c r="K9" s="9"/>
      <c r="L9" s="36"/>
      <c r="M9" s="115"/>
      <c r="N9" s="9"/>
      <c r="O9" s="9"/>
      <c r="P9" s="9"/>
      <c r="Q9" s="118">
        <v>0</v>
      </c>
      <c r="R9" s="119"/>
      <c r="S9" s="120"/>
      <c r="T9" s="119"/>
      <c r="U9" s="114"/>
    </row>
    <row r="10" spans="1:21" ht="51" x14ac:dyDescent="0.25">
      <c r="A10" s="14">
        <v>1009</v>
      </c>
      <c r="B10" s="113" t="s">
        <v>343</v>
      </c>
      <c r="C10" s="114" t="s">
        <v>154</v>
      </c>
      <c r="D10" s="115" t="s">
        <v>158</v>
      </c>
      <c r="E10" s="116" t="s">
        <v>159</v>
      </c>
      <c r="F10" s="116" t="s">
        <v>160</v>
      </c>
      <c r="G10" s="116" t="s">
        <v>111</v>
      </c>
      <c r="H10" s="116" t="s">
        <v>161</v>
      </c>
      <c r="I10" s="115" t="s">
        <v>113</v>
      </c>
      <c r="J10" s="117" t="s">
        <v>114</v>
      </c>
      <c r="K10" s="9"/>
      <c r="L10" s="36"/>
      <c r="M10" s="115"/>
      <c r="N10" s="9"/>
      <c r="O10" s="9"/>
      <c r="P10" s="9"/>
      <c r="Q10" s="118">
        <v>0</v>
      </c>
      <c r="R10" s="119"/>
      <c r="S10" s="120"/>
      <c r="T10" s="119"/>
      <c r="U10" s="114"/>
    </row>
    <row r="11" spans="1:21" ht="114.75" x14ac:dyDescent="0.25">
      <c r="A11" s="14">
        <v>1010</v>
      </c>
      <c r="B11" s="113" t="s">
        <v>341</v>
      </c>
      <c r="C11" s="114" t="s">
        <v>1</v>
      </c>
      <c r="D11" s="115" t="s">
        <v>162</v>
      </c>
      <c r="E11" s="116" t="s">
        <v>163</v>
      </c>
      <c r="F11" s="116" t="s">
        <v>164</v>
      </c>
      <c r="G11" s="116" t="s">
        <v>111</v>
      </c>
      <c r="H11" s="116" t="s">
        <v>135</v>
      </c>
      <c r="I11" s="115" t="s">
        <v>113</v>
      </c>
      <c r="J11" s="117" t="s">
        <v>114</v>
      </c>
      <c r="K11" s="9"/>
      <c r="L11" s="36"/>
      <c r="M11" s="115"/>
      <c r="N11" s="9"/>
      <c r="O11" s="9"/>
      <c r="P11" s="9"/>
      <c r="Q11" s="118">
        <v>0</v>
      </c>
      <c r="R11" s="119"/>
      <c r="S11" s="120"/>
      <c r="T11" s="119"/>
      <c r="U11" s="114"/>
    </row>
    <row r="12" spans="1:21" ht="127.5" x14ac:dyDescent="0.25">
      <c r="A12" s="14">
        <v>1011</v>
      </c>
      <c r="B12" s="113" t="s">
        <v>341</v>
      </c>
      <c r="C12" s="114" t="s">
        <v>165</v>
      </c>
      <c r="D12" s="115" t="s">
        <v>166</v>
      </c>
      <c r="E12" s="116" t="s">
        <v>167</v>
      </c>
      <c r="F12" s="116" t="s">
        <v>167</v>
      </c>
      <c r="G12" s="116" t="s">
        <v>111</v>
      </c>
      <c r="H12" s="116" t="s">
        <v>168</v>
      </c>
      <c r="I12" s="115" t="s">
        <v>113</v>
      </c>
      <c r="J12" s="117" t="s">
        <v>114</v>
      </c>
      <c r="K12" s="9"/>
      <c r="L12" s="36"/>
      <c r="M12" s="115"/>
      <c r="N12" s="9"/>
      <c r="O12" s="9"/>
      <c r="P12" s="9"/>
      <c r="Q12" s="118">
        <v>0</v>
      </c>
      <c r="R12" s="119"/>
      <c r="S12" s="120"/>
      <c r="T12" s="119"/>
      <c r="U12" s="114"/>
    </row>
    <row r="13" spans="1:21" ht="114.75" x14ac:dyDescent="0.25">
      <c r="A13" s="14">
        <v>1012</v>
      </c>
      <c r="B13" s="113" t="s">
        <v>348</v>
      </c>
      <c r="C13" s="114" t="s">
        <v>169</v>
      </c>
      <c r="D13" s="115" t="s">
        <v>170</v>
      </c>
      <c r="E13" s="116" t="s">
        <v>171</v>
      </c>
      <c r="F13" s="116" t="s">
        <v>172</v>
      </c>
      <c r="G13" s="116" t="s">
        <v>134</v>
      </c>
      <c r="H13" s="116" t="s">
        <v>135</v>
      </c>
      <c r="I13" s="115" t="s">
        <v>113</v>
      </c>
      <c r="J13" s="117" t="s">
        <v>114</v>
      </c>
      <c r="K13" s="9"/>
      <c r="L13" s="36"/>
      <c r="M13" s="115"/>
      <c r="N13" s="9"/>
      <c r="O13" s="9"/>
      <c r="P13" s="9"/>
      <c r="Q13" s="118">
        <v>0</v>
      </c>
      <c r="R13" s="119"/>
      <c r="S13" s="120"/>
      <c r="T13" s="119"/>
      <c r="U13" s="114"/>
    </row>
    <row r="14" spans="1:21" ht="38.25" x14ac:dyDescent="0.25">
      <c r="A14" s="14">
        <v>1013</v>
      </c>
      <c r="B14" s="113" t="s">
        <v>348</v>
      </c>
      <c r="C14" s="114" t="s">
        <v>173</v>
      </c>
      <c r="D14" s="115" t="s">
        <v>174</v>
      </c>
      <c r="E14" s="116" t="s">
        <v>175</v>
      </c>
      <c r="F14" s="116"/>
      <c r="G14" s="116" t="s">
        <v>176</v>
      </c>
      <c r="H14" s="116" t="s">
        <v>177</v>
      </c>
      <c r="I14" s="115" t="s">
        <v>113</v>
      </c>
      <c r="J14" s="117" t="s">
        <v>178</v>
      </c>
      <c r="K14" s="9"/>
      <c r="L14" s="36"/>
      <c r="M14" s="115"/>
      <c r="N14" s="9"/>
      <c r="O14" s="9"/>
      <c r="P14" s="9"/>
      <c r="Q14" s="118">
        <v>0</v>
      </c>
      <c r="R14" s="119"/>
      <c r="S14" s="120"/>
      <c r="T14" s="119" t="s">
        <v>179</v>
      </c>
      <c r="U14" s="121" t="s">
        <v>180</v>
      </c>
    </row>
    <row r="15" spans="1:21" ht="30" x14ac:dyDescent="0.25">
      <c r="A15" s="14">
        <v>1014</v>
      </c>
      <c r="B15" s="113"/>
      <c r="C15" s="114" t="s">
        <v>9</v>
      </c>
      <c r="D15" s="115" t="s">
        <v>181</v>
      </c>
      <c r="E15" s="116" t="s">
        <v>182</v>
      </c>
      <c r="F15" s="116"/>
      <c r="G15" s="116"/>
      <c r="H15" s="116"/>
      <c r="I15" s="115" t="s">
        <v>113</v>
      </c>
      <c r="J15" s="117" t="s">
        <v>183</v>
      </c>
      <c r="K15" s="9"/>
      <c r="L15" s="36"/>
      <c r="M15" s="115"/>
      <c r="N15" s="9"/>
      <c r="O15" s="9"/>
      <c r="P15" s="9"/>
      <c r="Q15" s="118">
        <v>0</v>
      </c>
      <c r="R15" s="119"/>
      <c r="S15" s="120"/>
      <c r="T15" s="119"/>
      <c r="U15" s="114"/>
    </row>
    <row r="16" spans="1:21" ht="75" x14ac:dyDescent="0.25">
      <c r="A16" s="14">
        <v>1015</v>
      </c>
      <c r="B16" s="113" t="s">
        <v>354</v>
      </c>
      <c r="C16" s="114" t="s">
        <v>9</v>
      </c>
      <c r="D16" s="115" t="s">
        <v>184</v>
      </c>
      <c r="E16" s="116" t="s">
        <v>185</v>
      </c>
      <c r="F16" s="116"/>
      <c r="G16" s="116"/>
      <c r="H16" s="116"/>
      <c r="I16" s="115" t="s">
        <v>113</v>
      </c>
      <c r="J16" s="117" t="s">
        <v>183</v>
      </c>
      <c r="K16" s="9"/>
      <c r="L16" s="36"/>
      <c r="M16" s="115"/>
      <c r="N16" s="9"/>
      <c r="O16" s="9"/>
      <c r="P16" s="9"/>
      <c r="Q16" s="118">
        <v>0</v>
      </c>
      <c r="R16" s="119"/>
      <c r="S16" s="120"/>
      <c r="T16" s="119"/>
      <c r="U16" s="114"/>
    </row>
    <row r="17" spans="1:21" ht="153.75" customHeight="1" x14ac:dyDescent="0.25">
      <c r="A17" s="14">
        <v>1016</v>
      </c>
      <c r="B17" s="113" t="s">
        <v>349</v>
      </c>
      <c r="C17" s="114" t="s">
        <v>85</v>
      </c>
      <c r="D17" s="115" t="s">
        <v>186</v>
      </c>
      <c r="E17" s="116" t="s">
        <v>187</v>
      </c>
      <c r="F17" s="116"/>
      <c r="G17" s="116"/>
      <c r="H17" s="116"/>
      <c r="I17" s="115" t="s">
        <v>113</v>
      </c>
      <c r="J17" s="117" t="s">
        <v>183</v>
      </c>
      <c r="K17" s="9"/>
      <c r="L17" s="36"/>
      <c r="M17" s="115"/>
      <c r="N17" s="9"/>
      <c r="O17" s="9"/>
      <c r="P17" s="9"/>
      <c r="Q17" s="118">
        <v>0</v>
      </c>
      <c r="R17" s="119"/>
      <c r="S17" s="120"/>
      <c r="T17" s="119"/>
      <c r="U17" s="114"/>
    </row>
    <row r="18" spans="1:21" ht="51" x14ac:dyDescent="0.25">
      <c r="A18" s="14">
        <v>1017</v>
      </c>
      <c r="B18" s="113" t="s">
        <v>350</v>
      </c>
      <c r="C18" s="114" t="s">
        <v>85</v>
      </c>
      <c r="D18" s="115" t="s">
        <v>188</v>
      </c>
      <c r="E18" s="116" t="s">
        <v>189</v>
      </c>
      <c r="F18" s="116"/>
      <c r="G18" s="116"/>
      <c r="H18" s="116"/>
      <c r="I18" s="115" t="s">
        <v>113</v>
      </c>
      <c r="J18" s="117" t="s">
        <v>183</v>
      </c>
      <c r="K18" s="9"/>
      <c r="L18" s="36"/>
      <c r="M18" s="115"/>
      <c r="N18" s="9"/>
      <c r="O18" s="9"/>
      <c r="P18" s="9"/>
      <c r="Q18" s="118">
        <v>0</v>
      </c>
      <c r="R18" s="119"/>
      <c r="S18" s="120"/>
      <c r="T18" s="119"/>
      <c r="U18" s="114"/>
    </row>
    <row r="19" spans="1:21" ht="114.75" x14ac:dyDescent="0.25">
      <c r="A19" s="14">
        <v>1018</v>
      </c>
      <c r="B19" s="113" t="s">
        <v>350</v>
      </c>
      <c r="C19" s="114" t="s">
        <v>85</v>
      </c>
      <c r="D19" s="115" t="s">
        <v>190</v>
      </c>
      <c r="E19" s="116" t="s">
        <v>191</v>
      </c>
      <c r="F19" s="116"/>
      <c r="G19" s="116"/>
      <c r="H19" s="116"/>
      <c r="I19" s="115" t="s">
        <v>113</v>
      </c>
      <c r="J19" s="117" t="s">
        <v>183</v>
      </c>
      <c r="K19" s="9"/>
      <c r="L19" s="36"/>
      <c r="M19" s="115"/>
      <c r="N19" s="9"/>
      <c r="O19" s="9"/>
      <c r="P19" s="9"/>
      <c r="Q19" s="118">
        <v>0</v>
      </c>
      <c r="R19" s="119"/>
      <c r="S19" s="120"/>
      <c r="T19" s="119"/>
      <c r="U19" s="114"/>
    </row>
    <row r="20" spans="1:21" ht="76.5" x14ac:dyDescent="0.25">
      <c r="A20" s="14">
        <v>1019</v>
      </c>
      <c r="B20" s="113" t="s">
        <v>356</v>
      </c>
      <c r="C20" s="114" t="s">
        <v>85</v>
      </c>
      <c r="D20" s="115" t="s">
        <v>192</v>
      </c>
      <c r="E20" s="116" t="s">
        <v>193</v>
      </c>
      <c r="F20" s="116"/>
      <c r="G20" s="116"/>
      <c r="H20" s="116"/>
      <c r="I20" s="115" t="s">
        <v>113</v>
      </c>
      <c r="J20" s="117" t="s">
        <v>183</v>
      </c>
      <c r="K20" s="9"/>
      <c r="L20" s="36"/>
      <c r="M20" s="115"/>
      <c r="N20" s="9"/>
      <c r="O20" s="9"/>
      <c r="P20" s="9"/>
      <c r="Q20" s="118">
        <v>0</v>
      </c>
      <c r="R20" s="119"/>
      <c r="S20" s="120"/>
      <c r="T20" s="119"/>
      <c r="U20" s="114"/>
    </row>
    <row r="21" spans="1:21" ht="45" x14ac:dyDescent="0.25">
      <c r="A21" s="14">
        <v>1020</v>
      </c>
      <c r="B21" s="113" t="s">
        <v>356</v>
      </c>
      <c r="C21" s="114" t="s">
        <v>194</v>
      </c>
      <c r="D21" s="115" t="s">
        <v>195</v>
      </c>
      <c r="E21" s="116"/>
      <c r="F21" s="116"/>
      <c r="G21" s="116"/>
      <c r="H21" s="116"/>
      <c r="I21" s="115" t="s">
        <v>113</v>
      </c>
      <c r="J21" s="117" t="s">
        <v>183</v>
      </c>
      <c r="K21" s="9"/>
      <c r="L21" s="36"/>
      <c r="M21" s="115"/>
      <c r="N21" s="9"/>
      <c r="O21" s="9"/>
      <c r="P21" s="9"/>
      <c r="Q21" s="118">
        <v>0</v>
      </c>
      <c r="R21" s="119"/>
      <c r="S21" s="120"/>
      <c r="T21" s="119"/>
      <c r="U21" s="114"/>
    </row>
    <row r="22" spans="1:21" ht="60" x14ac:dyDescent="0.25">
      <c r="A22" s="14">
        <v>1021</v>
      </c>
      <c r="B22" s="113" t="s">
        <v>353</v>
      </c>
      <c r="C22" s="114" t="s">
        <v>94</v>
      </c>
      <c r="D22" s="115" t="s">
        <v>196</v>
      </c>
      <c r="E22" s="116" t="s">
        <v>197</v>
      </c>
      <c r="F22" s="116"/>
      <c r="G22" s="116"/>
      <c r="H22" s="116"/>
      <c r="I22" s="115" t="s">
        <v>113</v>
      </c>
      <c r="J22" s="117" t="s">
        <v>183</v>
      </c>
      <c r="K22" s="9"/>
      <c r="L22" s="36"/>
      <c r="M22" s="115"/>
      <c r="N22" s="9"/>
      <c r="O22" s="9"/>
      <c r="P22" s="9"/>
      <c r="Q22" s="118">
        <v>0</v>
      </c>
      <c r="R22" s="119"/>
      <c r="S22" s="120"/>
      <c r="T22" s="119"/>
      <c r="U22" s="114"/>
    </row>
    <row r="23" spans="1:21" ht="60" x14ac:dyDescent="0.25">
      <c r="A23" s="14">
        <v>1022</v>
      </c>
      <c r="B23" s="113" t="s">
        <v>341</v>
      </c>
      <c r="C23" s="114" t="s">
        <v>205</v>
      </c>
      <c r="D23" s="115" t="s">
        <v>206</v>
      </c>
      <c r="E23" s="116" t="s">
        <v>207</v>
      </c>
      <c r="F23" s="116"/>
      <c r="G23" s="116"/>
      <c r="H23" s="116"/>
      <c r="I23" s="115" t="s">
        <v>113</v>
      </c>
      <c r="J23" s="117" t="s">
        <v>183</v>
      </c>
      <c r="K23" s="9"/>
      <c r="L23" s="36"/>
      <c r="M23" s="115"/>
      <c r="N23" s="9"/>
      <c r="O23" s="9"/>
      <c r="P23" s="9"/>
      <c r="Q23" s="118">
        <v>0</v>
      </c>
      <c r="R23" s="119"/>
      <c r="S23" s="120"/>
      <c r="T23" s="119"/>
      <c r="U23" s="114"/>
    </row>
    <row r="24" spans="1:21" ht="60" x14ac:dyDescent="0.25">
      <c r="A24" s="14">
        <v>1023</v>
      </c>
      <c r="B24" s="113" t="s">
        <v>351</v>
      </c>
      <c r="C24" s="114" t="s">
        <v>208</v>
      </c>
      <c r="D24" s="115" t="s">
        <v>209</v>
      </c>
      <c r="E24" s="116" t="s">
        <v>210</v>
      </c>
      <c r="F24" s="116"/>
      <c r="G24" s="116"/>
      <c r="H24" s="116"/>
      <c r="I24" s="115" t="s">
        <v>113</v>
      </c>
      <c r="J24" s="117" t="s">
        <v>183</v>
      </c>
      <c r="K24" s="9"/>
      <c r="L24" s="36"/>
      <c r="M24" s="115"/>
      <c r="N24" s="9"/>
      <c r="O24" s="9"/>
      <c r="P24" s="9"/>
      <c r="Q24" s="118">
        <v>0</v>
      </c>
      <c r="R24" s="119"/>
      <c r="S24" s="120"/>
      <c r="T24" s="119"/>
      <c r="U24" s="114"/>
    </row>
    <row r="25" spans="1:21" ht="102" x14ac:dyDescent="0.25">
      <c r="A25" s="14">
        <v>1024</v>
      </c>
      <c r="B25" s="113" t="s">
        <v>352</v>
      </c>
      <c r="C25" s="122" t="s">
        <v>211</v>
      </c>
      <c r="D25" s="123" t="s">
        <v>212</v>
      </c>
      <c r="E25" s="116" t="s">
        <v>213</v>
      </c>
      <c r="F25" s="124" t="s">
        <v>146</v>
      </c>
      <c r="G25" s="124" t="s">
        <v>134</v>
      </c>
      <c r="H25" s="124" t="s">
        <v>214</v>
      </c>
      <c r="I25" s="115" t="s">
        <v>113</v>
      </c>
      <c r="J25" s="117" t="s">
        <v>183</v>
      </c>
      <c r="K25" s="125"/>
      <c r="L25" s="36"/>
      <c r="M25" s="115"/>
      <c r="N25" s="9"/>
      <c r="O25" s="125"/>
      <c r="P25" s="125"/>
      <c r="Q25" s="118">
        <v>0</v>
      </c>
      <c r="R25" s="119"/>
      <c r="S25" s="120"/>
      <c r="T25" s="119"/>
      <c r="U25" s="114"/>
    </row>
    <row r="26" spans="1:21" ht="178.5" x14ac:dyDescent="0.25">
      <c r="A26" s="14">
        <v>1025</v>
      </c>
      <c r="B26" s="113" t="s">
        <v>352</v>
      </c>
      <c r="C26" s="114" t="s">
        <v>215</v>
      </c>
      <c r="D26" s="123" t="s">
        <v>216</v>
      </c>
      <c r="E26" s="116" t="s">
        <v>217</v>
      </c>
      <c r="F26" s="116" t="s">
        <v>218</v>
      </c>
      <c r="G26" s="116" t="s">
        <v>119</v>
      </c>
      <c r="H26" s="116" t="s">
        <v>219</v>
      </c>
      <c r="I26" s="115" t="s">
        <v>113</v>
      </c>
      <c r="J26" s="117" t="s">
        <v>183</v>
      </c>
      <c r="K26" s="9"/>
      <c r="L26" s="36"/>
      <c r="M26" s="115"/>
      <c r="N26" s="9"/>
      <c r="O26" s="9"/>
      <c r="P26" s="9"/>
      <c r="Q26" s="118">
        <v>0</v>
      </c>
      <c r="R26" s="119"/>
      <c r="S26" s="120"/>
      <c r="T26" s="119"/>
      <c r="U26" s="114"/>
    </row>
    <row r="27" spans="1:21" ht="89.25" x14ac:dyDescent="0.25">
      <c r="A27" s="14">
        <v>1026</v>
      </c>
      <c r="B27" s="113" t="s">
        <v>344</v>
      </c>
      <c r="C27" s="114" t="s">
        <v>215</v>
      </c>
      <c r="D27" s="123" t="s">
        <v>220</v>
      </c>
      <c r="E27" s="116" t="s">
        <v>221</v>
      </c>
      <c r="F27" s="116" t="s">
        <v>222</v>
      </c>
      <c r="G27" s="116" t="s">
        <v>134</v>
      </c>
      <c r="H27" s="116" t="s">
        <v>223</v>
      </c>
      <c r="I27" s="115" t="s">
        <v>113</v>
      </c>
      <c r="J27" s="117" t="s">
        <v>183</v>
      </c>
      <c r="K27" s="9"/>
      <c r="L27" s="36"/>
      <c r="M27" s="115"/>
      <c r="N27" s="9"/>
      <c r="O27" s="9"/>
      <c r="P27" s="9"/>
      <c r="Q27" s="118">
        <v>0</v>
      </c>
      <c r="R27" s="119"/>
      <c r="S27" s="120"/>
      <c r="T27" s="119"/>
      <c r="U27" s="114"/>
    </row>
    <row r="28" spans="1:21" ht="110.25" x14ac:dyDescent="0.25">
      <c r="A28" s="14">
        <v>1027</v>
      </c>
      <c r="B28" s="113" t="s">
        <v>355</v>
      </c>
      <c r="C28" s="114" t="s">
        <v>225</v>
      </c>
      <c r="D28" s="116" t="s">
        <v>226</v>
      </c>
      <c r="E28" s="116" t="s">
        <v>227</v>
      </c>
      <c r="F28" s="126" t="s">
        <v>228</v>
      </c>
      <c r="G28" s="116" t="s">
        <v>134</v>
      </c>
      <c r="H28" s="116" t="s">
        <v>139</v>
      </c>
      <c r="I28" s="115" t="s">
        <v>113</v>
      </c>
      <c r="J28" s="117" t="s">
        <v>183</v>
      </c>
      <c r="K28" s="9"/>
      <c r="L28" s="36"/>
      <c r="M28" s="115"/>
      <c r="N28" s="9"/>
      <c r="O28" s="9"/>
      <c r="P28" s="9"/>
      <c r="Q28" s="118">
        <v>0</v>
      </c>
      <c r="R28" s="119"/>
      <c r="S28" s="120"/>
      <c r="T28" s="119"/>
      <c r="U28" s="114"/>
    </row>
    <row r="29" spans="1:21" ht="110.25" x14ac:dyDescent="0.25">
      <c r="A29" s="14">
        <v>1028</v>
      </c>
      <c r="B29" s="113" t="s">
        <v>357</v>
      </c>
      <c r="C29" s="114" t="s">
        <v>225</v>
      </c>
      <c r="D29" s="127" t="s">
        <v>229</v>
      </c>
      <c r="E29" s="116" t="s">
        <v>230</v>
      </c>
      <c r="F29" s="126" t="s">
        <v>228</v>
      </c>
      <c r="G29" s="116" t="s">
        <v>134</v>
      </c>
      <c r="H29" s="116" t="s">
        <v>139</v>
      </c>
      <c r="I29" s="115" t="s">
        <v>113</v>
      </c>
      <c r="J29" s="117" t="s">
        <v>183</v>
      </c>
      <c r="K29" s="9"/>
      <c r="L29" s="36"/>
      <c r="M29" s="115"/>
      <c r="N29" s="9"/>
      <c r="O29" s="9"/>
      <c r="P29" s="9"/>
      <c r="Q29" s="118">
        <v>0</v>
      </c>
      <c r="R29" s="119"/>
      <c r="S29" s="120"/>
      <c r="T29" s="119"/>
      <c r="U29" s="114"/>
    </row>
    <row r="30" spans="1:21" ht="75" x14ac:dyDescent="0.25">
      <c r="A30" s="14">
        <v>1029</v>
      </c>
      <c r="B30" s="113" t="s">
        <v>347</v>
      </c>
      <c r="C30" s="114" t="s">
        <v>225</v>
      </c>
      <c r="D30" s="116" t="s">
        <v>231</v>
      </c>
      <c r="E30" s="116" t="s">
        <v>232</v>
      </c>
      <c r="F30" s="128" t="s">
        <v>233</v>
      </c>
      <c r="G30" s="116"/>
      <c r="H30" s="116" t="s">
        <v>234</v>
      </c>
      <c r="I30" s="115" t="s">
        <v>113</v>
      </c>
      <c r="J30" s="117" t="s">
        <v>183</v>
      </c>
      <c r="K30" s="9"/>
      <c r="L30" s="36"/>
      <c r="M30" s="115"/>
      <c r="N30" s="9"/>
      <c r="O30" s="9"/>
      <c r="P30" s="9"/>
      <c r="Q30" s="118">
        <v>0</v>
      </c>
      <c r="R30" s="119"/>
      <c r="S30" s="120"/>
      <c r="T30" s="119"/>
      <c r="U30" s="114"/>
    </row>
    <row r="31" spans="1:21" ht="51" x14ac:dyDescent="0.25">
      <c r="A31" s="14">
        <v>1030</v>
      </c>
      <c r="B31" s="113" t="s">
        <v>343</v>
      </c>
      <c r="C31" s="114" t="s">
        <v>225</v>
      </c>
      <c r="D31" s="116" t="s">
        <v>235</v>
      </c>
      <c r="E31" s="116" t="s">
        <v>236</v>
      </c>
      <c r="F31" s="129" t="s">
        <v>237</v>
      </c>
      <c r="G31" s="116" t="s">
        <v>134</v>
      </c>
      <c r="H31" s="116" t="s">
        <v>238</v>
      </c>
      <c r="I31" s="115" t="s">
        <v>113</v>
      </c>
      <c r="J31" s="117" t="s">
        <v>183</v>
      </c>
      <c r="K31" s="9"/>
      <c r="L31" s="36"/>
      <c r="M31" s="115"/>
      <c r="N31" s="9"/>
      <c r="O31" s="9"/>
      <c r="P31" s="9"/>
      <c r="Q31" s="118">
        <v>0</v>
      </c>
      <c r="R31" s="119"/>
      <c r="S31" s="120"/>
      <c r="T31" s="119"/>
      <c r="U31" s="114"/>
    </row>
    <row r="32" spans="1:21" ht="114.75" x14ac:dyDescent="0.25">
      <c r="A32" s="14">
        <v>1031</v>
      </c>
      <c r="B32" s="113" t="s">
        <v>343</v>
      </c>
      <c r="C32" s="114" t="s">
        <v>225</v>
      </c>
      <c r="D32" s="116" t="s">
        <v>382</v>
      </c>
      <c r="E32" s="116" t="s">
        <v>239</v>
      </c>
      <c r="F32" s="129" t="s">
        <v>240</v>
      </c>
      <c r="G32" s="116" t="s">
        <v>134</v>
      </c>
      <c r="H32" s="116" t="s">
        <v>234</v>
      </c>
      <c r="I32" s="115" t="s">
        <v>113</v>
      </c>
      <c r="J32" s="117" t="s">
        <v>183</v>
      </c>
      <c r="K32" s="9"/>
      <c r="L32" s="36"/>
      <c r="M32" s="115"/>
      <c r="N32" s="9"/>
      <c r="O32" s="9"/>
      <c r="P32" s="9"/>
      <c r="Q32" s="118">
        <v>0</v>
      </c>
      <c r="R32" s="119"/>
      <c r="S32" s="120"/>
      <c r="T32" s="119"/>
      <c r="U32" s="114"/>
    </row>
    <row r="33" spans="1:21" ht="114.75" x14ac:dyDescent="0.25">
      <c r="A33" s="14">
        <v>1032</v>
      </c>
      <c r="B33" s="113" t="s">
        <v>341</v>
      </c>
      <c r="C33" s="114" t="s">
        <v>225</v>
      </c>
      <c r="D33" s="116" t="s">
        <v>241</v>
      </c>
      <c r="E33" s="116" t="s">
        <v>242</v>
      </c>
      <c r="F33" s="129" t="s">
        <v>383</v>
      </c>
      <c r="G33" s="116" t="s">
        <v>134</v>
      </c>
      <c r="H33" s="116" t="s">
        <v>243</v>
      </c>
      <c r="I33" s="115" t="s">
        <v>113</v>
      </c>
      <c r="J33" s="117" t="s">
        <v>183</v>
      </c>
      <c r="K33" s="9"/>
      <c r="L33" s="36"/>
      <c r="M33" s="115"/>
      <c r="N33" s="9"/>
      <c r="O33" s="9"/>
      <c r="P33" s="9"/>
      <c r="Q33" s="118">
        <v>0</v>
      </c>
      <c r="R33" s="119"/>
      <c r="S33" s="120"/>
      <c r="T33" s="119"/>
      <c r="U33" s="114"/>
    </row>
    <row r="34" spans="1:21" ht="60" x14ac:dyDescent="0.25">
      <c r="A34" s="14">
        <v>1033</v>
      </c>
      <c r="B34" s="113" t="s">
        <v>341</v>
      </c>
      <c r="C34" s="114" t="s">
        <v>225</v>
      </c>
      <c r="D34" s="116" t="s">
        <v>244</v>
      </c>
      <c r="E34" s="116" t="s">
        <v>245</v>
      </c>
      <c r="F34" s="116" t="s">
        <v>237</v>
      </c>
      <c r="G34" s="116" t="s">
        <v>134</v>
      </c>
      <c r="H34" s="116" t="s">
        <v>243</v>
      </c>
      <c r="I34" s="115" t="s">
        <v>113</v>
      </c>
      <c r="J34" s="117" t="s">
        <v>183</v>
      </c>
      <c r="K34" s="9"/>
      <c r="L34" s="36"/>
      <c r="M34" s="115"/>
      <c r="N34" s="9"/>
      <c r="O34" s="9"/>
      <c r="P34" s="9"/>
      <c r="Q34" s="118">
        <v>0</v>
      </c>
      <c r="R34" s="119"/>
      <c r="S34" s="120"/>
      <c r="T34" s="119"/>
      <c r="U34" s="114"/>
    </row>
    <row r="35" spans="1:21" ht="110.25" x14ac:dyDescent="0.25">
      <c r="A35" s="14">
        <v>1034</v>
      </c>
      <c r="B35" s="113" t="s">
        <v>341</v>
      </c>
      <c r="C35" s="114" t="s">
        <v>225</v>
      </c>
      <c r="D35" s="116" t="s">
        <v>246</v>
      </c>
      <c r="E35" s="128" t="s">
        <v>247</v>
      </c>
      <c r="F35" s="124" t="s">
        <v>248</v>
      </c>
      <c r="G35" s="116" t="s">
        <v>134</v>
      </c>
      <c r="H35" s="116" t="s">
        <v>243</v>
      </c>
      <c r="I35" s="115" t="s">
        <v>113</v>
      </c>
      <c r="J35" s="117" t="s">
        <v>183</v>
      </c>
      <c r="K35" s="9"/>
      <c r="L35" s="36"/>
      <c r="M35" s="115"/>
      <c r="N35" s="9"/>
      <c r="O35" s="9"/>
      <c r="P35" s="9"/>
      <c r="Q35" s="118">
        <v>0</v>
      </c>
      <c r="R35" s="119"/>
      <c r="S35" s="120"/>
      <c r="T35" s="119"/>
      <c r="U35" s="114"/>
    </row>
    <row r="36" spans="1:21" ht="102" x14ac:dyDescent="0.25">
      <c r="A36" s="14">
        <v>1035</v>
      </c>
      <c r="B36" s="113" t="s">
        <v>341</v>
      </c>
      <c r="C36" s="114" t="s">
        <v>225</v>
      </c>
      <c r="D36" s="124" t="s">
        <v>249</v>
      </c>
      <c r="E36" s="124" t="s">
        <v>250</v>
      </c>
      <c r="F36" s="124" t="s">
        <v>251</v>
      </c>
      <c r="G36" s="116" t="s">
        <v>134</v>
      </c>
      <c r="H36" s="116" t="s">
        <v>243</v>
      </c>
      <c r="I36" s="115" t="s">
        <v>113</v>
      </c>
      <c r="J36" s="117" t="s">
        <v>183</v>
      </c>
      <c r="K36" s="9"/>
      <c r="L36" s="36"/>
      <c r="M36" s="115"/>
      <c r="N36" s="9"/>
      <c r="O36" s="9"/>
      <c r="P36" s="9"/>
      <c r="Q36" s="118">
        <v>0</v>
      </c>
      <c r="R36" s="119"/>
      <c r="S36" s="120"/>
      <c r="T36" s="119"/>
      <c r="U36" s="114"/>
    </row>
    <row r="37" spans="1:21" ht="127.5" x14ac:dyDescent="0.25">
      <c r="A37" s="14">
        <v>1036</v>
      </c>
      <c r="B37" s="113" t="s">
        <v>342</v>
      </c>
      <c r="C37" s="114" t="s">
        <v>225</v>
      </c>
      <c r="D37" s="124" t="s">
        <v>252</v>
      </c>
      <c r="E37" s="124" t="s">
        <v>253</v>
      </c>
      <c r="F37" s="124" t="s">
        <v>254</v>
      </c>
      <c r="G37" s="116" t="s">
        <v>134</v>
      </c>
      <c r="H37" s="116" t="s">
        <v>255</v>
      </c>
      <c r="I37" s="115" t="s">
        <v>113</v>
      </c>
      <c r="J37" s="117" t="s">
        <v>183</v>
      </c>
      <c r="K37" s="9"/>
      <c r="L37" s="36"/>
      <c r="M37" s="115"/>
      <c r="N37" s="9"/>
      <c r="O37" s="9"/>
      <c r="P37" s="9"/>
      <c r="Q37" s="118">
        <v>0</v>
      </c>
      <c r="R37" s="119"/>
      <c r="S37" s="120"/>
      <c r="T37" s="119"/>
      <c r="U37" s="114"/>
    </row>
    <row r="38" spans="1:21" ht="252" x14ac:dyDescent="0.25">
      <c r="A38" s="14">
        <v>1037</v>
      </c>
      <c r="B38" s="113" t="s">
        <v>348</v>
      </c>
      <c r="C38" s="114" t="s">
        <v>257</v>
      </c>
      <c r="D38" s="130" t="s">
        <v>258</v>
      </c>
      <c r="E38" s="131" t="s">
        <v>259</v>
      </c>
      <c r="F38" s="131" t="s">
        <v>260</v>
      </c>
      <c r="G38" s="116" t="s">
        <v>111</v>
      </c>
      <c r="H38" s="116" t="s">
        <v>261</v>
      </c>
      <c r="I38" s="115" t="s">
        <v>113</v>
      </c>
      <c r="J38" s="117" t="s">
        <v>183</v>
      </c>
      <c r="K38" s="9"/>
      <c r="L38" s="36"/>
      <c r="M38" s="115"/>
      <c r="N38" s="9"/>
      <c r="O38" s="9"/>
      <c r="P38" s="9"/>
      <c r="Q38" s="118">
        <v>0</v>
      </c>
      <c r="R38" s="119"/>
      <c r="S38" s="120"/>
      <c r="T38" s="119" t="s">
        <v>262</v>
      </c>
      <c r="U38" s="114" t="s">
        <v>263</v>
      </c>
    </row>
    <row r="39" spans="1:21" ht="252" x14ac:dyDescent="0.25">
      <c r="A39" s="14">
        <v>1038</v>
      </c>
      <c r="B39" s="113" t="s">
        <v>198</v>
      </c>
      <c r="C39" s="114" t="s">
        <v>257</v>
      </c>
      <c r="D39" s="130" t="s">
        <v>264</v>
      </c>
      <c r="E39" s="131" t="s">
        <v>265</v>
      </c>
      <c r="F39" s="131" t="s">
        <v>260</v>
      </c>
      <c r="G39" s="116" t="s">
        <v>111</v>
      </c>
      <c r="H39" s="116" t="s">
        <v>261</v>
      </c>
      <c r="I39" s="115" t="s">
        <v>113</v>
      </c>
      <c r="J39" s="117" t="s">
        <v>183</v>
      </c>
      <c r="K39" s="9"/>
      <c r="L39" s="36"/>
      <c r="M39" s="115"/>
      <c r="N39" s="9"/>
      <c r="O39" s="9"/>
      <c r="P39" s="9"/>
      <c r="Q39" s="118">
        <v>0</v>
      </c>
      <c r="R39" s="119"/>
      <c r="S39" s="120"/>
      <c r="T39" s="119"/>
      <c r="U39" s="114"/>
    </row>
    <row r="40" spans="1:21" ht="283.5" x14ac:dyDescent="0.25">
      <c r="A40" s="14">
        <v>1039</v>
      </c>
      <c r="B40" s="113" t="s">
        <v>345</v>
      </c>
      <c r="C40" s="132" t="s">
        <v>257</v>
      </c>
      <c r="D40" s="130" t="s">
        <v>266</v>
      </c>
      <c r="E40" s="117" t="s">
        <v>267</v>
      </c>
      <c r="F40" s="133" t="s">
        <v>268</v>
      </c>
      <c r="G40" s="117" t="s">
        <v>134</v>
      </c>
      <c r="H40" s="117" t="s">
        <v>243</v>
      </c>
      <c r="I40" s="115" t="s">
        <v>113</v>
      </c>
      <c r="J40" s="117" t="s">
        <v>183</v>
      </c>
      <c r="K40" s="9"/>
      <c r="L40" s="36"/>
      <c r="M40" s="115"/>
      <c r="N40" s="9"/>
      <c r="O40" s="9"/>
      <c r="P40" s="9"/>
      <c r="Q40" s="118">
        <v>0</v>
      </c>
      <c r="R40" s="119"/>
      <c r="S40" s="120"/>
      <c r="T40" s="119"/>
      <c r="U40" s="114"/>
    </row>
    <row r="41" spans="1:21" ht="126" x14ac:dyDescent="0.25">
      <c r="A41" s="14">
        <v>1040</v>
      </c>
      <c r="B41" s="113" t="s">
        <v>358</v>
      </c>
      <c r="C41" s="132" t="s">
        <v>257</v>
      </c>
      <c r="D41" s="130" t="s">
        <v>269</v>
      </c>
      <c r="E41" s="133" t="s">
        <v>270</v>
      </c>
      <c r="F41" s="133" t="s">
        <v>271</v>
      </c>
      <c r="G41" s="117" t="s">
        <v>134</v>
      </c>
      <c r="H41" s="117" t="s">
        <v>243</v>
      </c>
      <c r="I41" s="115" t="s">
        <v>113</v>
      </c>
      <c r="J41" s="117" t="s">
        <v>183</v>
      </c>
      <c r="K41" s="9"/>
      <c r="L41" s="36"/>
      <c r="M41" s="115"/>
      <c r="N41" s="9"/>
      <c r="O41" s="9"/>
      <c r="P41" s="9"/>
      <c r="Q41" s="118">
        <v>0</v>
      </c>
      <c r="R41" s="119"/>
      <c r="S41" s="120"/>
      <c r="T41" s="119"/>
      <c r="U41" s="114"/>
    </row>
    <row r="42" spans="1:21" ht="204" x14ac:dyDescent="0.25">
      <c r="A42" s="14">
        <v>1041</v>
      </c>
      <c r="B42" s="113" t="s">
        <v>359</v>
      </c>
      <c r="C42" s="134" t="s">
        <v>273</v>
      </c>
      <c r="D42" s="127" t="s">
        <v>274</v>
      </c>
      <c r="E42" s="135" t="s">
        <v>275</v>
      </c>
      <c r="F42" s="136" t="s">
        <v>276</v>
      </c>
      <c r="G42" s="137" t="s">
        <v>203</v>
      </c>
      <c r="H42" s="137" t="s">
        <v>277</v>
      </c>
      <c r="I42" s="115" t="s">
        <v>68</v>
      </c>
      <c r="J42" s="117" t="s">
        <v>183</v>
      </c>
      <c r="K42" s="34"/>
      <c r="L42" s="34"/>
      <c r="M42" s="137"/>
      <c r="N42" s="35"/>
      <c r="O42" s="35"/>
      <c r="P42" s="35"/>
      <c r="Q42" s="138">
        <v>0</v>
      </c>
      <c r="R42" s="139"/>
      <c r="S42" s="120"/>
      <c r="T42" s="139" t="s">
        <v>278</v>
      </c>
      <c r="U42" s="134" t="s">
        <v>180</v>
      </c>
    </row>
    <row r="43" spans="1:21" ht="45" hidden="1" x14ac:dyDescent="0.3">
      <c r="A43" s="14">
        <v>1042</v>
      </c>
      <c r="B43" s="113" t="s">
        <v>360</v>
      </c>
      <c r="C43" s="132" t="s">
        <v>280</v>
      </c>
      <c r="D43" s="115" t="s">
        <v>281</v>
      </c>
      <c r="E43" s="140"/>
      <c r="F43" s="141"/>
      <c r="G43" s="131"/>
      <c r="H43" s="131"/>
      <c r="I43" s="115" t="s">
        <v>113</v>
      </c>
      <c r="J43" s="117" t="s">
        <v>183</v>
      </c>
      <c r="K43" s="24" t="s">
        <v>282</v>
      </c>
      <c r="L43" s="24" t="s">
        <v>283</v>
      </c>
      <c r="M43" s="131"/>
      <c r="N43" s="125"/>
      <c r="O43" s="125"/>
      <c r="P43" s="125"/>
      <c r="Q43" s="118">
        <v>0</v>
      </c>
      <c r="R43" s="142"/>
      <c r="S43" s="120"/>
      <c r="T43" s="142"/>
      <c r="U43" s="132"/>
    </row>
    <row r="44" spans="1:21" ht="45" hidden="1" x14ac:dyDescent="0.3">
      <c r="A44" s="14">
        <v>1043</v>
      </c>
      <c r="B44" s="143" t="s">
        <v>360</v>
      </c>
      <c r="C44" s="132" t="s">
        <v>285</v>
      </c>
      <c r="D44" s="115" t="s">
        <v>286</v>
      </c>
      <c r="E44" s="140"/>
      <c r="F44" s="141"/>
      <c r="G44" s="131"/>
      <c r="H44" s="131"/>
      <c r="I44" s="115" t="s">
        <v>113</v>
      </c>
      <c r="J44" s="117"/>
      <c r="K44" s="24"/>
      <c r="L44" s="24"/>
      <c r="M44" s="131"/>
      <c r="N44" s="125"/>
      <c r="O44" s="125"/>
      <c r="P44" s="125"/>
      <c r="Q44" s="118">
        <v>0</v>
      </c>
      <c r="R44" s="142"/>
      <c r="S44" s="120"/>
      <c r="T44" s="142"/>
      <c r="U44" s="132"/>
    </row>
    <row r="45" spans="1:21" ht="105" hidden="1" x14ac:dyDescent="0.25">
      <c r="A45" s="14">
        <v>1044</v>
      </c>
      <c r="B45" s="144" t="s">
        <v>224</v>
      </c>
      <c r="C45" s="132" t="s">
        <v>288</v>
      </c>
      <c r="D45" s="115" t="s">
        <v>289</v>
      </c>
      <c r="E45" s="145" t="s">
        <v>290</v>
      </c>
      <c r="F45" s="146" t="s">
        <v>291</v>
      </c>
      <c r="G45" s="133" t="s">
        <v>134</v>
      </c>
      <c r="H45" s="133" t="s">
        <v>292</v>
      </c>
      <c r="I45" s="115" t="s">
        <v>113</v>
      </c>
      <c r="J45" s="117"/>
      <c r="K45" s="26"/>
      <c r="L45" s="26"/>
      <c r="M45" s="133"/>
      <c r="N45" s="125"/>
      <c r="O45" s="125"/>
      <c r="P45" s="125"/>
      <c r="Q45" s="118">
        <v>0</v>
      </c>
      <c r="R45" s="142"/>
      <c r="S45" s="120"/>
      <c r="T45" s="142" t="s">
        <v>293</v>
      </c>
      <c r="U45" s="132" t="s">
        <v>294</v>
      </c>
    </row>
    <row r="46" spans="1:21" ht="258.75" hidden="1" x14ac:dyDescent="0.3">
      <c r="A46" s="14">
        <v>1045</v>
      </c>
      <c r="B46" s="144" t="s">
        <v>224</v>
      </c>
      <c r="C46" s="132" t="s">
        <v>296</v>
      </c>
      <c r="D46" s="115" t="s">
        <v>297</v>
      </c>
      <c r="E46" s="131" t="s">
        <v>298</v>
      </c>
      <c r="F46" s="141" t="s">
        <v>299</v>
      </c>
      <c r="G46" s="131" t="s">
        <v>134</v>
      </c>
      <c r="H46" s="131" t="s">
        <v>243</v>
      </c>
      <c r="I46" s="115" t="s">
        <v>113</v>
      </c>
      <c r="J46" s="117"/>
      <c r="K46" s="24"/>
      <c r="L46" s="24"/>
      <c r="M46" s="131"/>
      <c r="N46" s="125"/>
      <c r="O46" s="125"/>
      <c r="P46" s="125"/>
      <c r="Q46" s="118">
        <v>0</v>
      </c>
      <c r="R46" s="142"/>
      <c r="S46" s="120"/>
      <c r="T46" s="142"/>
      <c r="U46" s="132"/>
    </row>
    <row r="47" spans="1:21" ht="78.75" hidden="1" x14ac:dyDescent="0.25">
      <c r="A47" s="14">
        <v>1046</v>
      </c>
      <c r="B47" s="144" t="s">
        <v>224</v>
      </c>
      <c r="C47" s="132" t="s">
        <v>301</v>
      </c>
      <c r="D47" s="131" t="s">
        <v>302</v>
      </c>
      <c r="E47" s="131" t="s">
        <v>303</v>
      </c>
      <c r="F47" s="124" t="s">
        <v>291</v>
      </c>
      <c r="G47" s="124" t="s">
        <v>134</v>
      </c>
      <c r="H47" s="133" t="s">
        <v>304</v>
      </c>
      <c r="I47" s="115" t="s">
        <v>113</v>
      </c>
      <c r="J47" s="117"/>
      <c r="K47" s="27"/>
      <c r="L47" s="25"/>
      <c r="M47" s="115"/>
      <c r="N47" s="125"/>
      <c r="O47" s="125"/>
      <c r="P47" s="125"/>
      <c r="Q47" s="118">
        <v>0</v>
      </c>
      <c r="R47" s="142"/>
      <c r="S47" s="120"/>
      <c r="T47" s="142"/>
      <c r="U47" s="132"/>
    </row>
    <row r="48" spans="1:21" ht="63.75" hidden="1" x14ac:dyDescent="0.25">
      <c r="A48" s="14">
        <v>1047</v>
      </c>
      <c r="B48" s="144" t="s">
        <v>224</v>
      </c>
      <c r="C48" s="132" t="s">
        <v>306</v>
      </c>
      <c r="D48" s="115" t="s">
        <v>307</v>
      </c>
      <c r="E48" s="116" t="s">
        <v>308</v>
      </c>
      <c r="F48" s="116" t="s">
        <v>309</v>
      </c>
      <c r="G48" s="116" t="s">
        <v>203</v>
      </c>
      <c r="H48" s="116" t="s">
        <v>310</v>
      </c>
      <c r="I48" s="115" t="s">
        <v>113</v>
      </c>
      <c r="J48" s="117" t="s">
        <v>114</v>
      </c>
      <c r="K48" s="125"/>
      <c r="L48" s="147"/>
      <c r="M48" s="115"/>
      <c r="N48" s="125"/>
      <c r="O48" s="125"/>
      <c r="P48" s="125"/>
      <c r="Q48" s="118">
        <v>0</v>
      </c>
      <c r="R48" s="142"/>
      <c r="S48" s="120"/>
      <c r="T48" s="119"/>
      <c r="U48" s="114"/>
    </row>
    <row r="49" spans="1:21" ht="63.75" hidden="1" x14ac:dyDescent="0.25">
      <c r="A49" s="14">
        <v>1048</v>
      </c>
      <c r="B49" s="144" t="s">
        <v>224</v>
      </c>
      <c r="C49" s="132" t="s">
        <v>306</v>
      </c>
      <c r="D49" s="115" t="s">
        <v>311</v>
      </c>
      <c r="E49" s="116" t="s">
        <v>312</v>
      </c>
      <c r="F49" s="116" t="s">
        <v>313</v>
      </c>
      <c r="G49" s="116" t="s">
        <v>203</v>
      </c>
      <c r="H49" s="116" t="s">
        <v>314</v>
      </c>
      <c r="I49" s="115" t="s">
        <v>113</v>
      </c>
      <c r="J49" s="117" t="s">
        <v>114</v>
      </c>
      <c r="K49" s="125"/>
      <c r="L49" s="147"/>
      <c r="M49" s="115"/>
      <c r="N49" s="125"/>
      <c r="O49" s="125"/>
      <c r="P49" s="125"/>
      <c r="Q49" s="118">
        <v>0</v>
      </c>
      <c r="R49" s="142"/>
      <c r="S49" s="120"/>
      <c r="T49" s="119"/>
      <c r="U49" s="114"/>
    </row>
    <row r="50" spans="1:21" ht="153" hidden="1" x14ac:dyDescent="0.25">
      <c r="A50" s="14">
        <v>1049</v>
      </c>
      <c r="B50" s="144" t="s">
        <v>224</v>
      </c>
      <c r="C50" s="132" t="s">
        <v>306</v>
      </c>
      <c r="D50" s="115" t="s">
        <v>315</v>
      </c>
      <c r="E50" s="116" t="s">
        <v>316</v>
      </c>
      <c r="F50" s="116" t="s">
        <v>317</v>
      </c>
      <c r="G50" s="116" t="s">
        <v>134</v>
      </c>
      <c r="H50" s="116" t="s">
        <v>261</v>
      </c>
      <c r="I50" s="115" t="s">
        <v>113</v>
      </c>
      <c r="J50" s="117" t="s">
        <v>114</v>
      </c>
      <c r="K50" s="125"/>
      <c r="L50" s="147"/>
      <c r="M50" s="115"/>
      <c r="N50" s="125"/>
      <c r="O50" s="125"/>
      <c r="P50" s="125"/>
      <c r="Q50" s="118">
        <v>0</v>
      </c>
      <c r="R50" s="142"/>
      <c r="S50" s="120"/>
      <c r="T50" s="119"/>
      <c r="U50" s="114"/>
    </row>
    <row r="51" spans="1:21" ht="114.75" x14ac:dyDescent="0.25">
      <c r="A51" s="14">
        <v>1050</v>
      </c>
      <c r="B51" s="144" t="s">
        <v>224</v>
      </c>
      <c r="C51" s="114" t="s">
        <v>115</v>
      </c>
      <c r="D51" s="115" t="s">
        <v>116</v>
      </c>
      <c r="E51" s="116" t="s">
        <v>117</v>
      </c>
      <c r="F51" s="116" t="s">
        <v>118</v>
      </c>
      <c r="G51" s="116" t="s">
        <v>119</v>
      </c>
      <c r="H51" s="116"/>
      <c r="I51" s="115" t="s">
        <v>120</v>
      </c>
      <c r="J51" s="117" t="s">
        <v>69</v>
      </c>
      <c r="K51" s="9"/>
      <c r="L51" s="36"/>
      <c r="M51" s="115"/>
      <c r="N51" s="9"/>
      <c r="O51" s="9"/>
      <c r="P51" s="9"/>
      <c r="Q51" s="118">
        <v>0</v>
      </c>
      <c r="R51" s="148"/>
      <c r="S51" s="120" t="s">
        <v>384</v>
      </c>
      <c r="T51" s="120" t="s">
        <v>385</v>
      </c>
      <c r="U51" s="114"/>
    </row>
    <row r="52" spans="1:21" ht="360" x14ac:dyDescent="0.25">
      <c r="A52" s="14">
        <v>1051</v>
      </c>
      <c r="B52" s="144" t="s">
        <v>224</v>
      </c>
      <c r="C52" s="114" t="s">
        <v>199</v>
      </c>
      <c r="D52" s="115" t="s">
        <v>200</v>
      </c>
      <c r="E52" s="149" t="s">
        <v>201</v>
      </c>
      <c r="F52" s="116" t="s">
        <v>202</v>
      </c>
      <c r="G52" s="116" t="s">
        <v>203</v>
      </c>
      <c r="H52" s="116" t="s">
        <v>204</v>
      </c>
      <c r="I52" s="115" t="s">
        <v>120</v>
      </c>
      <c r="J52" s="117" t="s">
        <v>183</v>
      </c>
      <c r="K52" s="9"/>
      <c r="L52" s="36"/>
      <c r="M52" s="115"/>
      <c r="N52" s="9"/>
      <c r="O52" s="9"/>
      <c r="P52" s="9"/>
      <c r="Q52" s="118">
        <v>0</v>
      </c>
      <c r="R52" s="150"/>
      <c r="S52" s="151" t="s">
        <v>386</v>
      </c>
      <c r="T52" s="152"/>
      <c r="U52" s="114"/>
    </row>
    <row r="53" spans="1:21" ht="76.5" x14ac:dyDescent="0.25">
      <c r="A53" s="14">
        <v>1052</v>
      </c>
      <c r="B53" s="144" t="s">
        <v>224</v>
      </c>
      <c r="C53" s="114" t="s">
        <v>65</v>
      </c>
      <c r="D53" s="115" t="s">
        <v>66</v>
      </c>
      <c r="E53" s="116" t="s">
        <v>67</v>
      </c>
      <c r="F53" s="117"/>
      <c r="G53" s="117"/>
      <c r="H53" s="117"/>
      <c r="I53" s="115" t="s">
        <v>68</v>
      </c>
      <c r="J53" s="117" t="s">
        <v>69</v>
      </c>
      <c r="K53" s="9"/>
      <c r="L53" s="36" t="s">
        <v>70</v>
      </c>
      <c r="M53" s="115" t="s">
        <v>71</v>
      </c>
      <c r="N53" s="9">
        <v>1</v>
      </c>
      <c r="O53" s="9">
        <v>3</v>
      </c>
      <c r="P53" s="9">
        <v>10</v>
      </c>
      <c r="Q53" s="118">
        <v>13</v>
      </c>
      <c r="R53" s="150" t="s">
        <v>49</v>
      </c>
      <c r="S53" s="153" t="s">
        <v>372</v>
      </c>
      <c r="T53" s="120" t="s">
        <v>72</v>
      </c>
      <c r="U53" s="114"/>
    </row>
    <row r="54" spans="1:21" ht="204" x14ac:dyDescent="0.25">
      <c r="A54" s="14">
        <v>1053</v>
      </c>
      <c r="B54" s="144" t="s">
        <v>224</v>
      </c>
      <c r="C54" s="114" t="s">
        <v>85</v>
      </c>
      <c r="D54" s="115" t="s">
        <v>89</v>
      </c>
      <c r="E54" s="116" t="s">
        <v>90</v>
      </c>
      <c r="F54" s="116"/>
      <c r="G54" s="116"/>
      <c r="H54" s="116"/>
      <c r="I54" s="115" t="s">
        <v>68</v>
      </c>
      <c r="J54" s="117" t="s">
        <v>91</v>
      </c>
      <c r="K54" s="9"/>
      <c r="L54" s="36" t="s">
        <v>92</v>
      </c>
      <c r="M54" s="115" t="s">
        <v>93</v>
      </c>
      <c r="N54" s="9">
        <v>1</v>
      </c>
      <c r="O54" s="9">
        <v>1</v>
      </c>
      <c r="P54" s="9">
        <v>7</v>
      </c>
      <c r="Q54" s="118">
        <v>8</v>
      </c>
      <c r="R54" s="154" t="s">
        <v>88</v>
      </c>
      <c r="S54" s="120" t="s">
        <v>378</v>
      </c>
      <c r="T54" s="155" t="s">
        <v>377</v>
      </c>
      <c r="U54" s="114"/>
    </row>
    <row r="55" spans="1:21" ht="178.5" x14ac:dyDescent="0.25">
      <c r="A55" s="14">
        <v>1054</v>
      </c>
      <c r="B55" s="113" t="s">
        <v>256</v>
      </c>
      <c r="C55" s="114" t="s">
        <v>104</v>
      </c>
      <c r="D55" s="127" t="s">
        <v>105</v>
      </c>
      <c r="E55" s="116" t="s">
        <v>106</v>
      </c>
      <c r="F55" s="116"/>
      <c r="G55" s="116"/>
      <c r="H55" s="116"/>
      <c r="I55" s="115" t="s">
        <v>68</v>
      </c>
      <c r="J55" s="117" t="s">
        <v>69</v>
      </c>
      <c r="K55" s="9"/>
      <c r="L55" s="36"/>
      <c r="M55" s="115" t="s">
        <v>107</v>
      </c>
      <c r="N55" s="9"/>
      <c r="O55" s="9"/>
      <c r="P55" s="9">
        <v>3</v>
      </c>
      <c r="Q55" s="118">
        <v>3</v>
      </c>
      <c r="R55" s="154" t="s">
        <v>42</v>
      </c>
      <c r="S55" s="156" t="s">
        <v>380</v>
      </c>
      <c r="T55" s="156" t="s">
        <v>379</v>
      </c>
      <c r="U55" s="114"/>
    </row>
    <row r="56" spans="1:21" ht="89.25" x14ac:dyDescent="0.25">
      <c r="A56" s="14">
        <v>1055</v>
      </c>
      <c r="B56" s="113" t="s">
        <v>256</v>
      </c>
      <c r="C56" s="114" t="s">
        <v>148</v>
      </c>
      <c r="D56" s="115" t="s">
        <v>149</v>
      </c>
      <c r="E56" s="149" t="s">
        <v>150</v>
      </c>
      <c r="F56" s="116" t="s">
        <v>151</v>
      </c>
      <c r="G56" s="116" t="s">
        <v>119</v>
      </c>
      <c r="H56" s="116" t="s">
        <v>152</v>
      </c>
      <c r="I56" s="115" t="s">
        <v>68</v>
      </c>
      <c r="J56" s="117" t="s">
        <v>69</v>
      </c>
      <c r="K56" s="9"/>
      <c r="L56" s="36"/>
      <c r="M56" s="115" t="s">
        <v>153</v>
      </c>
      <c r="N56" s="9"/>
      <c r="O56" s="9"/>
      <c r="P56" s="9"/>
      <c r="Q56" s="118">
        <v>1</v>
      </c>
      <c r="R56" s="157"/>
      <c r="S56" s="151" t="s">
        <v>387</v>
      </c>
      <c r="T56" s="158" t="s">
        <v>381</v>
      </c>
      <c r="U56" s="159"/>
    </row>
    <row r="57" spans="1:21" s="9" customFormat="1" ht="280.5" x14ac:dyDescent="0.25">
      <c r="A57" s="14">
        <v>1056</v>
      </c>
      <c r="B57" s="113" t="s">
        <v>256</v>
      </c>
      <c r="C57" s="114" t="s">
        <v>1</v>
      </c>
      <c r="D57" s="115" t="s">
        <v>0</v>
      </c>
      <c r="E57" s="160" t="s">
        <v>37</v>
      </c>
      <c r="F57" s="116"/>
      <c r="G57" s="116"/>
      <c r="H57" s="116"/>
      <c r="I57" s="115" t="s">
        <v>38</v>
      </c>
      <c r="J57" s="117"/>
      <c r="K57" s="9" t="s">
        <v>39</v>
      </c>
      <c r="L57" s="36" t="s">
        <v>40</v>
      </c>
      <c r="M57" s="115" t="s">
        <v>41</v>
      </c>
      <c r="N57" s="9">
        <v>2</v>
      </c>
      <c r="O57" s="9">
        <v>6</v>
      </c>
      <c r="P57" s="9">
        <v>13</v>
      </c>
      <c r="Q57" s="118">
        <v>19</v>
      </c>
      <c r="R57" s="119" t="s">
        <v>42</v>
      </c>
      <c r="S57" s="120" t="s">
        <v>369</v>
      </c>
      <c r="T57" s="161" t="s">
        <v>362</v>
      </c>
      <c r="U57" s="114"/>
    </row>
    <row r="58" spans="1:21" s="9" customFormat="1" ht="114.75" x14ac:dyDescent="0.25">
      <c r="A58" s="14">
        <v>1057</v>
      </c>
      <c r="B58" s="113" t="s">
        <v>256</v>
      </c>
      <c r="C58" s="114" t="s">
        <v>1</v>
      </c>
      <c r="D58" s="115" t="s">
        <v>6</v>
      </c>
      <c r="E58" s="116" t="s">
        <v>43</v>
      </c>
      <c r="F58" s="162"/>
      <c r="G58" s="116"/>
      <c r="H58" s="116"/>
      <c r="I58" s="115" t="s">
        <v>38</v>
      </c>
      <c r="J58" s="117"/>
      <c r="L58" s="36" t="s">
        <v>44</v>
      </c>
      <c r="M58" s="115" t="s">
        <v>45</v>
      </c>
      <c r="N58" s="9">
        <v>2</v>
      </c>
      <c r="O58" s="9">
        <v>9</v>
      </c>
      <c r="P58" s="9">
        <v>3</v>
      </c>
      <c r="Q58" s="118">
        <v>12</v>
      </c>
      <c r="R58" s="119" t="s">
        <v>42</v>
      </c>
      <c r="S58" s="120" t="s">
        <v>364</v>
      </c>
      <c r="T58" s="119" t="s">
        <v>363</v>
      </c>
      <c r="U58" s="114"/>
    </row>
    <row r="59" spans="1:21" s="35" customFormat="1" ht="127.5" x14ac:dyDescent="0.3">
      <c r="A59" s="14">
        <v>1058</v>
      </c>
      <c r="B59" s="163" t="s">
        <v>272</v>
      </c>
      <c r="C59" s="114" t="s">
        <v>1</v>
      </c>
      <c r="D59" s="115" t="s">
        <v>7</v>
      </c>
      <c r="E59" s="116" t="s">
        <v>46</v>
      </c>
      <c r="F59" s="164"/>
      <c r="G59" s="116"/>
      <c r="H59" s="116"/>
      <c r="I59" s="115" t="s">
        <v>38</v>
      </c>
      <c r="J59" s="117"/>
      <c r="K59" s="9" t="s">
        <v>47</v>
      </c>
      <c r="L59" s="36" t="s">
        <v>40</v>
      </c>
      <c r="M59" s="115" t="s">
        <v>48</v>
      </c>
      <c r="N59" s="9">
        <v>4</v>
      </c>
      <c r="O59" s="9">
        <v>11</v>
      </c>
      <c r="P59" s="9">
        <v>9</v>
      </c>
      <c r="Q59" s="118">
        <v>20</v>
      </c>
      <c r="R59" s="154" t="s">
        <v>49</v>
      </c>
      <c r="S59" s="120" t="s">
        <v>365</v>
      </c>
      <c r="T59" s="120" t="s">
        <v>366</v>
      </c>
      <c r="U59" s="114"/>
    </row>
    <row r="60" spans="1:21" s="167" customFormat="1" ht="38.25" x14ac:dyDescent="0.25">
      <c r="A60" s="14">
        <v>1059</v>
      </c>
      <c r="B60" s="165" t="s">
        <v>279</v>
      </c>
      <c r="C60" s="114" t="s">
        <v>1</v>
      </c>
      <c r="D60" s="115" t="s">
        <v>50</v>
      </c>
      <c r="E60" s="116" t="s">
        <v>51</v>
      </c>
      <c r="F60" s="116"/>
      <c r="G60" s="116"/>
      <c r="H60" s="116"/>
      <c r="I60" s="115" t="s">
        <v>38</v>
      </c>
      <c r="J60" s="117"/>
      <c r="K60" s="9" t="s">
        <v>52</v>
      </c>
      <c r="L60" s="36" t="s">
        <v>40</v>
      </c>
      <c r="M60" s="115" t="s">
        <v>53</v>
      </c>
      <c r="N60" s="9">
        <v>4</v>
      </c>
      <c r="O60" s="9">
        <v>20</v>
      </c>
      <c r="P60" s="9">
        <v>15</v>
      </c>
      <c r="Q60" s="118" t="s">
        <v>54</v>
      </c>
      <c r="R60" s="157" t="s">
        <v>42</v>
      </c>
      <c r="S60" s="166" t="s">
        <v>368</v>
      </c>
      <c r="T60" s="120" t="s">
        <v>367</v>
      </c>
      <c r="U60" s="114"/>
    </row>
    <row r="61" spans="1:21" s="167" customFormat="1" ht="204" x14ac:dyDescent="0.25">
      <c r="A61" s="14">
        <v>1060</v>
      </c>
      <c r="B61" s="165" t="s">
        <v>284</v>
      </c>
      <c r="C61" s="114" t="s">
        <v>9</v>
      </c>
      <c r="D61" s="115" t="s">
        <v>55</v>
      </c>
      <c r="E61" s="131" t="s">
        <v>56</v>
      </c>
      <c r="F61" s="116"/>
      <c r="G61" s="116"/>
      <c r="H61" s="116"/>
      <c r="I61" s="115" t="s">
        <v>38</v>
      </c>
      <c r="J61" s="117" t="s">
        <v>57</v>
      </c>
      <c r="K61" s="9"/>
      <c r="L61" s="36" t="s">
        <v>58</v>
      </c>
      <c r="M61" s="115" t="s">
        <v>59</v>
      </c>
      <c r="N61" s="9">
        <v>1</v>
      </c>
      <c r="O61" s="9">
        <v>1</v>
      </c>
      <c r="P61" s="9">
        <v>5</v>
      </c>
      <c r="Q61" s="118">
        <v>6</v>
      </c>
      <c r="R61" s="150" t="s">
        <v>49</v>
      </c>
      <c r="S61" s="120" t="s">
        <v>388</v>
      </c>
      <c r="T61" s="161" t="s">
        <v>370</v>
      </c>
      <c r="U61" s="114"/>
    </row>
    <row r="62" spans="1:21" s="125" customFormat="1" ht="357" x14ac:dyDescent="0.25">
      <c r="A62" s="14">
        <v>1061</v>
      </c>
      <c r="B62" s="165" t="s">
        <v>287</v>
      </c>
      <c r="C62" s="114" t="s">
        <v>9</v>
      </c>
      <c r="D62" s="115" t="s">
        <v>10</v>
      </c>
      <c r="E62" s="116" t="s">
        <v>60</v>
      </c>
      <c r="F62" s="116" t="s">
        <v>61</v>
      </c>
      <c r="G62" s="116"/>
      <c r="H62" s="116"/>
      <c r="I62" s="115" t="s">
        <v>38</v>
      </c>
      <c r="J62" s="117" t="s">
        <v>57</v>
      </c>
      <c r="K62" s="9"/>
      <c r="L62" s="36" t="s">
        <v>62</v>
      </c>
      <c r="M62" s="115" t="s">
        <v>63</v>
      </c>
      <c r="N62" s="9">
        <v>1</v>
      </c>
      <c r="O62" s="9">
        <v>1</v>
      </c>
      <c r="P62" s="9">
        <v>4</v>
      </c>
      <c r="Q62" s="118">
        <v>5</v>
      </c>
      <c r="R62" s="119" t="s">
        <v>49</v>
      </c>
      <c r="S62" s="120" t="s">
        <v>371</v>
      </c>
      <c r="T62" s="120" t="s">
        <v>64</v>
      </c>
      <c r="U62" s="114"/>
    </row>
    <row r="63" spans="1:21" s="167" customFormat="1" ht="204" x14ac:dyDescent="0.25">
      <c r="A63" s="14">
        <v>1062</v>
      </c>
      <c r="B63" s="165" t="s">
        <v>295</v>
      </c>
      <c r="C63" s="114" t="s">
        <v>12</v>
      </c>
      <c r="D63" s="115" t="s">
        <v>11</v>
      </c>
      <c r="E63" s="116" t="s">
        <v>73</v>
      </c>
      <c r="F63" s="116" t="s">
        <v>74</v>
      </c>
      <c r="G63" s="116"/>
      <c r="H63" s="116"/>
      <c r="I63" s="115" t="s">
        <v>38</v>
      </c>
      <c r="J63" s="117" t="s">
        <v>75</v>
      </c>
      <c r="K63" s="9" t="s">
        <v>76</v>
      </c>
      <c r="L63" s="36" t="s">
        <v>77</v>
      </c>
      <c r="M63" s="115" t="s">
        <v>78</v>
      </c>
      <c r="N63" s="9">
        <v>1</v>
      </c>
      <c r="O63" s="9">
        <v>1</v>
      </c>
      <c r="P63" s="9">
        <v>8</v>
      </c>
      <c r="Q63" s="118">
        <v>9</v>
      </c>
      <c r="R63" s="150" t="s">
        <v>49</v>
      </c>
      <c r="S63" s="151" t="s">
        <v>373</v>
      </c>
      <c r="T63" s="168" t="s">
        <v>79</v>
      </c>
      <c r="U63" s="114"/>
    </row>
    <row r="64" spans="1:21" s="170" customFormat="1" ht="178.5" x14ac:dyDescent="0.25">
      <c r="A64" s="14">
        <v>1063</v>
      </c>
      <c r="B64" s="169" t="s">
        <v>300</v>
      </c>
      <c r="C64" s="114" t="s">
        <v>9</v>
      </c>
      <c r="D64" s="115" t="s">
        <v>13</v>
      </c>
      <c r="E64" s="116" t="s">
        <v>80</v>
      </c>
      <c r="F64" s="116" t="s">
        <v>81</v>
      </c>
      <c r="G64" s="116"/>
      <c r="H64" s="116"/>
      <c r="I64" s="115" t="s">
        <v>38</v>
      </c>
      <c r="J64" s="117" t="s">
        <v>57</v>
      </c>
      <c r="K64" s="9"/>
      <c r="L64" s="36" t="s">
        <v>82</v>
      </c>
      <c r="M64" s="115" t="s">
        <v>83</v>
      </c>
      <c r="N64" s="9">
        <v>1</v>
      </c>
      <c r="O64" s="9">
        <v>0</v>
      </c>
      <c r="P64" s="9">
        <v>4</v>
      </c>
      <c r="Q64" s="118">
        <v>5</v>
      </c>
      <c r="R64" s="154" t="s">
        <v>49</v>
      </c>
      <c r="S64" s="120" t="s">
        <v>374</v>
      </c>
      <c r="T64" s="151" t="s">
        <v>84</v>
      </c>
      <c r="U64" s="114"/>
    </row>
    <row r="65" spans="1:21" ht="127.5" x14ac:dyDescent="0.25">
      <c r="A65" s="14">
        <v>1064</v>
      </c>
      <c r="B65" s="113" t="s">
        <v>305</v>
      </c>
      <c r="C65" s="114" t="s">
        <v>85</v>
      </c>
      <c r="D65" s="115" t="s">
        <v>14</v>
      </c>
      <c r="E65" s="116" t="s">
        <v>86</v>
      </c>
      <c r="F65" s="116"/>
      <c r="G65" s="116"/>
      <c r="H65" s="116"/>
      <c r="I65" s="115" t="s">
        <v>38</v>
      </c>
      <c r="J65" s="117" t="s">
        <v>57</v>
      </c>
      <c r="K65" s="9"/>
      <c r="L65" s="36"/>
      <c r="M65" s="115" t="s">
        <v>87</v>
      </c>
      <c r="N65" s="9">
        <v>1</v>
      </c>
      <c r="O65" s="9">
        <v>2</v>
      </c>
      <c r="P65" s="9">
        <v>7</v>
      </c>
      <c r="Q65" s="118">
        <v>10</v>
      </c>
      <c r="R65" s="150" t="s">
        <v>88</v>
      </c>
      <c r="S65" s="120" t="s">
        <v>376</v>
      </c>
      <c r="T65" s="171" t="s">
        <v>375</v>
      </c>
      <c r="U65" s="114"/>
    </row>
    <row r="66" spans="1:21" ht="114.75" x14ac:dyDescent="0.25">
      <c r="A66" s="14">
        <v>1065</v>
      </c>
      <c r="B66" s="113" t="s">
        <v>305</v>
      </c>
      <c r="C66" s="114" t="s">
        <v>94</v>
      </c>
      <c r="D66" s="115" t="s">
        <v>16</v>
      </c>
      <c r="E66" s="116" t="s">
        <v>95</v>
      </c>
      <c r="F66" s="116"/>
      <c r="G66" s="116"/>
      <c r="H66" s="116"/>
      <c r="I66" s="115" t="s">
        <v>38</v>
      </c>
      <c r="J66" s="117" t="s">
        <v>91</v>
      </c>
      <c r="K66" s="9"/>
      <c r="L66" s="36" t="s">
        <v>96</v>
      </c>
      <c r="M66" s="115" t="s">
        <v>97</v>
      </c>
      <c r="N66" s="9">
        <v>1</v>
      </c>
      <c r="O66" s="9"/>
      <c r="P66" s="9">
        <v>6</v>
      </c>
      <c r="Q66" s="118">
        <v>7</v>
      </c>
      <c r="R66" s="154" t="s">
        <v>88</v>
      </c>
      <c r="S66" s="120" t="s">
        <v>98</v>
      </c>
      <c r="T66" s="120" t="s">
        <v>99</v>
      </c>
      <c r="U66" s="114"/>
    </row>
    <row r="67" spans="1:21" ht="76.5" x14ac:dyDescent="0.25">
      <c r="A67" s="14">
        <v>1066</v>
      </c>
      <c r="B67" s="113" t="s">
        <v>305</v>
      </c>
      <c r="C67" s="114" t="s">
        <v>94</v>
      </c>
      <c r="D67" s="115" t="s">
        <v>15</v>
      </c>
      <c r="E67" s="116" t="s">
        <v>100</v>
      </c>
      <c r="F67" s="116"/>
      <c r="G67" s="116"/>
      <c r="H67" s="116"/>
      <c r="I67" s="115" t="s">
        <v>38</v>
      </c>
      <c r="J67" s="117" t="s">
        <v>91</v>
      </c>
      <c r="K67" s="9"/>
      <c r="L67" s="36" t="s">
        <v>96</v>
      </c>
      <c r="M67" s="115" t="s">
        <v>101</v>
      </c>
      <c r="N67" s="9">
        <v>4</v>
      </c>
      <c r="O67" s="9"/>
      <c r="P67" s="9">
        <v>7</v>
      </c>
      <c r="Q67" s="118">
        <v>11</v>
      </c>
      <c r="R67" s="154" t="s">
        <v>42</v>
      </c>
      <c r="S67" s="120" t="s">
        <v>102</v>
      </c>
      <c r="T67" s="120" t="s">
        <v>103</v>
      </c>
      <c r="U67" s="114"/>
    </row>
    <row r="68" spans="1:21" x14ac:dyDescent="0.25">
      <c r="B68" s="172"/>
      <c r="C68" s="4"/>
      <c r="F68" s="5"/>
      <c r="I68" s="19"/>
      <c r="J68" s="8"/>
      <c r="K68" s="9"/>
      <c r="L68" s="10"/>
      <c r="M68" s="21"/>
      <c r="N68" s="11"/>
      <c r="O68" s="9"/>
      <c r="P68" s="9"/>
      <c r="Q68" s="22"/>
      <c r="R68" s="11"/>
      <c r="S68" s="13"/>
    </row>
    <row r="69" spans="1:21" x14ac:dyDescent="0.25">
      <c r="C69" s="4"/>
      <c r="I69" s="19"/>
      <c r="J69" s="8"/>
      <c r="K69" s="9"/>
      <c r="L69" s="10"/>
      <c r="M69" s="21"/>
      <c r="N69" s="11"/>
      <c r="O69" s="9"/>
      <c r="P69" s="9"/>
      <c r="Q69" s="22"/>
      <c r="R69" s="11"/>
      <c r="S69" s="13"/>
    </row>
    <row r="70" spans="1:21" x14ac:dyDescent="0.25">
      <c r="C70" s="4"/>
      <c r="I70" s="19"/>
      <c r="J70" s="8"/>
      <c r="K70" s="9"/>
      <c r="L70" s="10"/>
      <c r="M70" s="21"/>
      <c r="N70" s="11"/>
      <c r="O70" s="9"/>
      <c r="P70" s="9"/>
      <c r="Q70" s="22"/>
      <c r="R70" s="11"/>
      <c r="S70" s="13"/>
    </row>
    <row r="71" spans="1:21" x14ac:dyDescent="0.25">
      <c r="C71" s="4"/>
      <c r="I71" s="19"/>
      <c r="J71" s="8"/>
      <c r="K71" s="9"/>
      <c r="L71" s="10"/>
      <c r="M71" s="21"/>
      <c r="N71" s="11"/>
      <c r="O71" s="9"/>
      <c r="P71" s="9"/>
      <c r="Q71" s="22"/>
      <c r="R71" s="11"/>
      <c r="S71" s="13"/>
    </row>
    <row r="72" spans="1:21" x14ac:dyDescent="0.25">
      <c r="C72" s="4"/>
      <c r="I72" s="19"/>
      <c r="J72" s="8"/>
      <c r="K72" s="9"/>
      <c r="L72" s="10"/>
      <c r="M72" s="21"/>
      <c r="N72" s="11"/>
      <c r="O72" s="9"/>
      <c r="P72" s="9"/>
      <c r="Q72" s="22"/>
      <c r="R72" s="11"/>
      <c r="S72" s="13"/>
    </row>
    <row r="73" spans="1:21" x14ac:dyDescent="0.25">
      <c r="C73" s="4"/>
      <c r="I73" s="19"/>
      <c r="J73" s="8"/>
      <c r="K73" s="9"/>
      <c r="L73" s="10"/>
      <c r="M73" s="21"/>
      <c r="N73" s="11"/>
      <c r="O73" s="9"/>
      <c r="P73" s="9"/>
      <c r="Q73" s="22"/>
      <c r="R73" s="11"/>
      <c r="S73" s="13"/>
    </row>
    <row r="74" spans="1:21" x14ac:dyDescent="0.25">
      <c r="C74" s="4"/>
      <c r="I74" s="19"/>
      <c r="J74" s="8"/>
      <c r="K74" s="9"/>
      <c r="L74" s="10"/>
      <c r="M74" s="21"/>
      <c r="N74" s="11"/>
      <c r="O74" s="9"/>
      <c r="P74" s="9"/>
      <c r="Q74" s="22"/>
      <c r="R74" s="11"/>
      <c r="S74" s="13"/>
    </row>
    <row r="75" spans="1:21" x14ac:dyDescent="0.25">
      <c r="C75" s="4"/>
      <c r="I75" s="19"/>
      <c r="J75" s="8"/>
      <c r="K75" s="9"/>
      <c r="L75" s="10"/>
      <c r="M75" s="21"/>
      <c r="N75" s="11"/>
      <c r="O75" s="9"/>
      <c r="P75" s="9"/>
      <c r="Q75" s="22"/>
      <c r="R75" s="11"/>
      <c r="S75" s="13"/>
    </row>
    <row r="76" spans="1:21" x14ac:dyDescent="0.25">
      <c r="C76" s="4"/>
      <c r="I76" s="19"/>
      <c r="J76" s="8"/>
      <c r="K76" s="9"/>
      <c r="L76" s="10"/>
      <c r="M76" s="21"/>
      <c r="N76" s="11"/>
      <c r="O76" s="9"/>
      <c r="P76" s="9"/>
      <c r="Q76" s="22"/>
      <c r="R76" s="11"/>
      <c r="S76" s="13"/>
    </row>
    <row r="77" spans="1:21" x14ac:dyDescent="0.25">
      <c r="C77" s="4"/>
      <c r="I77" s="19"/>
      <c r="J77" s="8"/>
      <c r="K77" s="9"/>
      <c r="L77" s="10"/>
      <c r="M77" s="21"/>
      <c r="N77" s="11"/>
      <c r="O77" s="9"/>
      <c r="P77" s="9"/>
      <c r="Q77" s="22"/>
      <c r="R77" s="11"/>
      <c r="S77" s="13"/>
    </row>
    <row r="78" spans="1:21" x14ac:dyDescent="0.25">
      <c r="C78" s="4"/>
      <c r="I78" s="19"/>
      <c r="J78" s="8"/>
      <c r="K78" s="9"/>
      <c r="L78" s="10"/>
      <c r="M78" s="21"/>
      <c r="N78" s="11"/>
      <c r="O78" s="9"/>
      <c r="P78" s="9"/>
      <c r="Q78" s="22"/>
      <c r="R78" s="11"/>
      <c r="S78" s="13"/>
    </row>
    <row r="79" spans="1:21" x14ac:dyDescent="0.25">
      <c r="C79" s="4"/>
      <c r="I79" s="19"/>
      <c r="J79" s="8"/>
      <c r="K79" s="9"/>
      <c r="L79" s="10"/>
      <c r="M79" s="21"/>
      <c r="N79" s="11"/>
      <c r="O79" s="9"/>
      <c r="P79" s="9"/>
      <c r="Q79" s="22"/>
      <c r="R79" s="11"/>
      <c r="S79" s="13"/>
    </row>
    <row r="80" spans="1:21" x14ac:dyDescent="0.25">
      <c r="C80" s="4"/>
      <c r="I80" s="19"/>
      <c r="J80" s="8"/>
      <c r="K80" s="9"/>
      <c r="L80" s="10"/>
      <c r="M80" s="21"/>
      <c r="N80" s="11"/>
      <c r="O80" s="9"/>
      <c r="P80" s="9"/>
      <c r="Q80" s="22"/>
      <c r="R80" s="11"/>
      <c r="S80" s="13"/>
    </row>
    <row r="81" spans="3:19" x14ac:dyDescent="0.25">
      <c r="C81" s="4"/>
      <c r="I81" s="19"/>
      <c r="J81" s="8"/>
      <c r="K81" s="9"/>
      <c r="L81" s="10"/>
      <c r="M81" s="21"/>
      <c r="N81" s="11"/>
      <c r="O81" s="9"/>
      <c r="P81" s="9"/>
      <c r="Q81" s="22"/>
      <c r="R81" s="11"/>
      <c r="S81" s="13"/>
    </row>
    <row r="82" spans="3:19" x14ac:dyDescent="0.25">
      <c r="C82" s="4"/>
      <c r="I82" s="19"/>
      <c r="J82" s="8"/>
      <c r="K82" s="9"/>
      <c r="L82" s="10"/>
      <c r="M82" s="21"/>
      <c r="N82" s="11"/>
      <c r="O82" s="9"/>
      <c r="P82" s="9"/>
      <c r="Q82" s="22"/>
      <c r="R82" s="11"/>
      <c r="S82" s="13"/>
    </row>
    <row r="83" spans="3:19" x14ac:dyDescent="0.25">
      <c r="C83" s="4"/>
      <c r="I83" s="19"/>
      <c r="J83" s="8"/>
      <c r="K83" s="9"/>
      <c r="L83" s="10"/>
      <c r="M83" s="21"/>
      <c r="N83" s="11"/>
      <c r="O83" s="9"/>
      <c r="P83" s="9"/>
      <c r="Q83" s="22"/>
      <c r="R83" s="11"/>
      <c r="S83" s="13"/>
    </row>
    <row r="84" spans="3:19" x14ac:dyDescent="0.25">
      <c r="C84" s="4"/>
      <c r="I84" s="19"/>
      <c r="J84" s="8"/>
      <c r="K84" s="9"/>
      <c r="L84" s="10"/>
      <c r="M84" s="21"/>
      <c r="N84" s="11"/>
      <c r="O84" s="9"/>
      <c r="P84" s="9"/>
      <c r="Q84" s="22"/>
      <c r="R84" s="11"/>
      <c r="S84" s="13"/>
    </row>
    <row r="85" spans="3:19" x14ac:dyDescent="0.25">
      <c r="C85" s="4"/>
      <c r="I85" s="19"/>
      <c r="J85" s="8"/>
      <c r="K85" s="9"/>
      <c r="L85" s="10"/>
      <c r="M85" s="21"/>
      <c r="N85" s="11"/>
      <c r="O85" s="9"/>
      <c r="P85" s="9"/>
      <c r="Q85" s="22"/>
      <c r="R85" s="11"/>
      <c r="S85" s="13"/>
    </row>
    <row r="86" spans="3:19" x14ac:dyDescent="0.25">
      <c r="C86" s="4"/>
      <c r="I86" s="19"/>
      <c r="J86" s="8"/>
      <c r="K86" s="9"/>
      <c r="L86" s="10"/>
      <c r="M86" s="21"/>
      <c r="N86" s="11"/>
      <c r="O86" s="9"/>
      <c r="P86" s="9"/>
      <c r="Q86" s="22"/>
      <c r="R86" s="11"/>
      <c r="S86" s="13"/>
    </row>
    <row r="87" spans="3:19" x14ac:dyDescent="0.25">
      <c r="C87" s="4"/>
      <c r="I87" s="19"/>
      <c r="J87" s="8"/>
      <c r="K87" s="9"/>
      <c r="L87" s="10"/>
      <c r="M87" s="21"/>
      <c r="N87" s="11"/>
      <c r="O87" s="9"/>
      <c r="P87" s="9"/>
      <c r="Q87" s="22"/>
      <c r="R87" s="11"/>
      <c r="S87" s="13"/>
    </row>
    <row r="88" spans="3:19" x14ac:dyDescent="0.25">
      <c r="C88" s="4"/>
      <c r="I88" s="19"/>
      <c r="J88" s="8"/>
      <c r="K88" s="9"/>
      <c r="L88" s="10"/>
      <c r="M88" s="21"/>
      <c r="N88" s="11"/>
      <c r="O88" s="9"/>
      <c r="P88" s="9"/>
      <c r="Q88" s="22"/>
      <c r="R88" s="11"/>
      <c r="S88" s="13"/>
    </row>
    <row r="89" spans="3:19" x14ac:dyDescent="0.25">
      <c r="C89" s="4"/>
      <c r="I89" s="19"/>
      <c r="J89" s="8"/>
      <c r="K89" s="9"/>
      <c r="L89" s="10"/>
      <c r="M89" s="21"/>
      <c r="N89" s="11"/>
      <c r="O89" s="9"/>
      <c r="P89" s="9"/>
      <c r="Q89" s="22"/>
      <c r="R89" s="11"/>
      <c r="S89" s="13"/>
    </row>
    <row r="90" spans="3:19" x14ac:dyDescent="0.25">
      <c r="C90" s="4"/>
      <c r="I90" s="19"/>
      <c r="J90" s="8"/>
      <c r="K90" s="9"/>
      <c r="L90" s="10"/>
      <c r="M90" s="21"/>
      <c r="N90" s="11"/>
      <c r="O90" s="9"/>
      <c r="P90" s="9"/>
      <c r="Q90" s="22"/>
      <c r="R90" s="11"/>
      <c r="S90" s="13"/>
    </row>
    <row r="91" spans="3:19" x14ac:dyDescent="0.25">
      <c r="C91" s="4"/>
      <c r="I91" s="19"/>
      <c r="J91" s="8"/>
      <c r="K91" s="9"/>
      <c r="L91" s="10"/>
      <c r="M91" s="21"/>
      <c r="N91" s="11"/>
      <c r="O91" s="9"/>
      <c r="P91" s="9"/>
      <c r="Q91" s="22"/>
      <c r="R91" s="11"/>
      <c r="S91" s="13"/>
    </row>
    <row r="92" spans="3:19" x14ac:dyDescent="0.25">
      <c r="C92" s="4"/>
      <c r="I92" s="19"/>
      <c r="J92" s="8"/>
      <c r="K92" s="9"/>
      <c r="L92" s="10"/>
      <c r="M92" s="21"/>
      <c r="N92" s="11"/>
      <c r="O92" s="9"/>
      <c r="P92" s="9"/>
      <c r="Q92" s="22"/>
      <c r="R92" s="11"/>
      <c r="S92" s="13"/>
    </row>
    <row r="93" spans="3:19" x14ac:dyDescent="0.25">
      <c r="C93" s="4"/>
      <c r="I93" s="19"/>
      <c r="J93" s="8"/>
      <c r="K93" s="9"/>
      <c r="L93" s="10"/>
      <c r="M93" s="21"/>
      <c r="N93" s="11"/>
      <c r="O93" s="9"/>
      <c r="P93" s="9"/>
      <c r="Q93" s="22"/>
      <c r="R93" s="11"/>
      <c r="S93" s="13"/>
    </row>
    <row r="94" spans="3:19" x14ac:dyDescent="0.25">
      <c r="C94" s="4"/>
      <c r="I94" s="19"/>
      <c r="J94" s="8"/>
      <c r="K94" s="9"/>
      <c r="L94" s="10"/>
      <c r="M94" s="21"/>
      <c r="N94" s="11"/>
      <c r="O94" s="9"/>
      <c r="P94" s="9"/>
      <c r="Q94" s="22"/>
      <c r="R94" s="11"/>
      <c r="S94" s="13"/>
    </row>
    <row r="95" spans="3:19" x14ac:dyDescent="0.25">
      <c r="C95" s="4"/>
      <c r="I95" s="19"/>
      <c r="J95" s="8"/>
      <c r="K95" s="9"/>
      <c r="L95" s="10"/>
      <c r="M95" s="21"/>
      <c r="N95" s="11"/>
      <c r="O95" s="9"/>
      <c r="P95" s="9"/>
      <c r="Q95" s="22"/>
      <c r="R95" s="11"/>
      <c r="S95" s="13"/>
    </row>
    <row r="96" spans="3:19" x14ac:dyDescent="0.25">
      <c r="C96" s="4"/>
      <c r="I96" s="19"/>
      <c r="J96" s="8"/>
      <c r="K96" s="9"/>
      <c r="L96" s="10"/>
      <c r="M96" s="21"/>
      <c r="N96" s="11"/>
      <c r="O96" s="9"/>
      <c r="P96" s="9"/>
      <c r="Q96" s="22"/>
      <c r="R96" s="11"/>
      <c r="S96" s="13"/>
    </row>
    <row r="97" spans="3:19" x14ac:dyDescent="0.25">
      <c r="C97" s="4"/>
      <c r="I97" s="19"/>
      <c r="J97" s="8"/>
      <c r="K97" s="9"/>
      <c r="L97" s="10"/>
      <c r="M97" s="21"/>
      <c r="N97" s="11"/>
      <c r="O97" s="9"/>
      <c r="P97" s="9"/>
      <c r="Q97" s="22"/>
      <c r="R97" s="11"/>
      <c r="S97" s="13"/>
    </row>
    <row r="98" spans="3:19" x14ac:dyDescent="0.25">
      <c r="C98" s="4"/>
      <c r="I98" s="19"/>
      <c r="J98" s="8"/>
      <c r="K98" s="9"/>
      <c r="L98" s="10"/>
      <c r="M98" s="21"/>
      <c r="N98" s="11"/>
      <c r="O98" s="9"/>
      <c r="P98" s="9"/>
      <c r="Q98" s="22"/>
      <c r="R98" s="11"/>
      <c r="S98" s="13"/>
    </row>
    <row r="99" spans="3:19" x14ac:dyDescent="0.25">
      <c r="C99" s="4"/>
      <c r="I99" s="19"/>
      <c r="J99" s="8"/>
      <c r="K99" s="9"/>
      <c r="L99" s="10"/>
      <c r="M99" s="21"/>
      <c r="N99" s="11"/>
      <c r="O99" s="9"/>
      <c r="P99" s="9"/>
      <c r="Q99" s="22"/>
      <c r="R99" s="11"/>
      <c r="S99" s="13"/>
    </row>
    <row r="100" spans="3:19" x14ac:dyDescent="0.25">
      <c r="C100" s="4"/>
      <c r="I100" s="19"/>
      <c r="J100" s="8"/>
      <c r="K100" s="9"/>
      <c r="L100" s="10"/>
      <c r="M100" s="21"/>
      <c r="N100" s="11"/>
      <c r="O100" s="9"/>
      <c r="P100" s="9"/>
      <c r="Q100" s="22"/>
      <c r="R100" s="11"/>
      <c r="S100" s="13"/>
    </row>
    <row r="101" spans="3:19" x14ac:dyDescent="0.25">
      <c r="C101" s="4"/>
      <c r="I101" s="19"/>
      <c r="J101" s="8"/>
      <c r="K101" s="9"/>
      <c r="L101" s="10"/>
      <c r="M101" s="21"/>
      <c r="N101" s="11"/>
      <c r="O101" s="9"/>
      <c r="P101" s="9"/>
      <c r="Q101" s="22"/>
      <c r="R101" s="11"/>
      <c r="S101" s="13"/>
    </row>
    <row r="102" spans="3:19" x14ac:dyDescent="0.25">
      <c r="C102" s="4"/>
      <c r="I102" s="19"/>
      <c r="J102" s="8"/>
      <c r="K102" s="9"/>
      <c r="L102" s="10"/>
      <c r="M102" s="21"/>
      <c r="N102" s="11"/>
      <c r="O102" s="9"/>
      <c r="P102" s="9"/>
      <c r="Q102" s="22"/>
      <c r="R102" s="11"/>
      <c r="S102" s="13"/>
    </row>
    <row r="103" spans="3:19" x14ac:dyDescent="0.3">
      <c r="C103" s="4"/>
    </row>
  </sheetData>
  <dataValidations count="1">
    <dataValidation type="list" allowBlank="1" showInputMessage="1" showErrorMessage="1" sqref="I2:J67" xr:uid="{E2189EF1-A068-A244-A0D2-68F9AE1D052D}">
      <formula1>#REF!</formula1>
    </dataValidation>
  </dataValidations>
  <pageMargins left="0.511811024" right="0.511811024" top="0.78740157499999996" bottom="0.78740157499999996" header="0.31496062000000002" footer="0.31496062000000002"/>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5B36D-A2D9-4CAA-AA15-5CAEC43EAC1C}">
  <sheetPr codeName="Planilha7"/>
  <dimension ref="A1:BN36"/>
  <sheetViews>
    <sheetView zoomScale="90" zoomScaleNormal="90" workbookViewId="0">
      <pane xSplit="4" ySplit="2" topLeftCell="E3" activePane="bottomRight" state="frozen"/>
      <selection pane="topRight" activeCell="E1" sqref="E1"/>
      <selection pane="bottomLeft" activeCell="B3" sqref="B3"/>
      <selection pane="bottomRight" activeCell="B11" sqref="B11"/>
    </sheetView>
  </sheetViews>
  <sheetFormatPr defaultColWidth="11" defaultRowHeight="15" outlineLevelCol="1" x14ac:dyDescent="0.25"/>
  <cols>
    <col min="1" max="1" width="54.125" style="46" hidden="1" customWidth="1"/>
    <col min="2" max="2" width="46" style="46" bestFit="1" customWidth="1"/>
    <col min="3" max="3" width="11.625" style="46" bestFit="1" customWidth="1"/>
    <col min="4" max="4" width="50.625" style="47" customWidth="1"/>
    <col min="5" max="5" width="48.625" style="48" customWidth="1" outlineLevel="1"/>
    <col min="6" max="6" width="15.375" style="48" customWidth="1" outlineLevel="1"/>
    <col min="7" max="7" width="13.625" style="48" customWidth="1" outlineLevel="1"/>
    <col min="8" max="8" width="13.625" style="49" customWidth="1" outlineLevel="1"/>
    <col min="9" max="9" width="13.625" style="50" customWidth="1" outlineLevel="1"/>
    <col min="10" max="10" width="13.625" style="49" customWidth="1" outlineLevel="1"/>
    <col min="11" max="11" width="13.625" style="50" customWidth="1" outlineLevel="1"/>
    <col min="12" max="12" width="13.375" style="46" customWidth="1"/>
    <col min="13" max="36" width="11" style="46" customWidth="1" outlineLevel="1"/>
    <col min="37" max="37" width="11" style="46"/>
    <col min="38" max="61" width="11" style="46" customWidth="1" outlineLevel="1"/>
    <col min="62" max="63" width="11" style="46"/>
    <col min="64" max="64" width="11" style="51"/>
    <col min="65" max="65" width="11" style="46"/>
    <col min="66" max="66" width="27.625" style="53" bestFit="1" customWidth="1"/>
    <col min="67" max="16384" width="11" style="46"/>
  </cols>
  <sheetData>
    <row r="1" spans="1:66" x14ac:dyDescent="0.25">
      <c r="A1" s="54"/>
      <c r="B1" s="55" t="e">
        <f>#REF!</f>
        <v>#REF!</v>
      </c>
      <c r="C1" s="54"/>
      <c r="D1" s="56"/>
      <c r="E1" s="57"/>
      <c r="F1" s="57"/>
      <c r="G1" s="57"/>
      <c r="H1" s="58"/>
      <c r="I1" s="59"/>
      <c r="J1" s="58"/>
      <c r="K1" s="59"/>
      <c r="L1" s="54"/>
      <c r="M1" s="173" t="s">
        <v>17</v>
      </c>
      <c r="N1" s="173"/>
      <c r="O1" s="173"/>
      <c r="P1" s="173"/>
      <c r="Q1" s="173"/>
      <c r="R1" s="173"/>
      <c r="S1" s="173"/>
      <c r="T1" s="173"/>
      <c r="U1" s="173"/>
      <c r="V1" s="173"/>
      <c r="W1" s="173"/>
      <c r="X1" s="173"/>
      <c r="Y1" s="173"/>
      <c r="Z1" s="173"/>
      <c r="AA1" s="173"/>
      <c r="AB1" s="173"/>
      <c r="AC1" s="173"/>
      <c r="AD1" s="173"/>
      <c r="AE1" s="173"/>
      <c r="AF1" s="173"/>
      <c r="AG1" s="173"/>
      <c r="AH1" s="173"/>
      <c r="AI1" s="173"/>
      <c r="AJ1" s="173"/>
      <c r="AK1" s="173"/>
      <c r="AL1" s="173" t="s">
        <v>18</v>
      </c>
      <c r="AM1" s="173"/>
      <c r="AN1" s="173"/>
      <c r="AO1" s="173"/>
      <c r="AP1" s="173"/>
      <c r="AQ1" s="173"/>
      <c r="AR1" s="173"/>
      <c r="AS1" s="173"/>
      <c r="AT1" s="173"/>
      <c r="AU1" s="173"/>
      <c r="AV1" s="173"/>
      <c r="AW1" s="173"/>
      <c r="AX1" s="173"/>
      <c r="AY1" s="173"/>
      <c r="AZ1" s="173"/>
      <c r="BA1" s="173"/>
      <c r="BB1" s="173"/>
      <c r="BC1" s="173"/>
      <c r="BD1" s="173"/>
      <c r="BE1" s="173"/>
      <c r="BF1" s="173"/>
      <c r="BG1" s="173"/>
      <c r="BH1" s="173"/>
      <c r="BI1" s="173"/>
      <c r="BJ1" s="173"/>
      <c r="BK1" s="54"/>
      <c r="BL1" s="60"/>
      <c r="BM1" s="54"/>
      <c r="BN1" s="61"/>
    </row>
    <row r="2" spans="1:66" ht="31.5" x14ac:dyDescent="0.25">
      <c r="A2" s="54"/>
      <c r="B2" s="37" t="s">
        <v>21</v>
      </c>
      <c r="C2" s="38" t="s">
        <v>319</v>
      </c>
      <c r="D2" s="28" t="s">
        <v>320</v>
      </c>
      <c r="E2" s="39" t="s">
        <v>321</v>
      </c>
      <c r="F2" s="39" t="s">
        <v>322</v>
      </c>
      <c r="G2" s="39" t="s">
        <v>323</v>
      </c>
      <c r="H2" s="44" t="s">
        <v>324</v>
      </c>
      <c r="I2" s="45" t="s">
        <v>325</v>
      </c>
      <c r="J2" s="44" t="s">
        <v>326</v>
      </c>
      <c r="K2" s="45" t="s">
        <v>327</v>
      </c>
      <c r="L2" s="38" t="s">
        <v>328</v>
      </c>
      <c r="M2" s="40">
        <v>44197</v>
      </c>
      <c r="N2" s="40">
        <v>44228</v>
      </c>
      <c r="O2" s="40">
        <v>44256</v>
      </c>
      <c r="P2" s="40">
        <v>44287</v>
      </c>
      <c r="Q2" s="40">
        <v>44317</v>
      </c>
      <c r="R2" s="40">
        <v>44348</v>
      </c>
      <c r="S2" s="40">
        <v>44378</v>
      </c>
      <c r="T2" s="40">
        <v>44409</v>
      </c>
      <c r="U2" s="40">
        <v>44440</v>
      </c>
      <c r="V2" s="40">
        <v>44470</v>
      </c>
      <c r="W2" s="40">
        <v>44501</v>
      </c>
      <c r="X2" s="40">
        <v>44531</v>
      </c>
      <c r="Y2" s="40">
        <v>44562</v>
      </c>
      <c r="Z2" s="40">
        <v>44593</v>
      </c>
      <c r="AA2" s="40">
        <v>44621</v>
      </c>
      <c r="AB2" s="40">
        <v>44652</v>
      </c>
      <c r="AC2" s="40">
        <v>44682</v>
      </c>
      <c r="AD2" s="40">
        <v>44713</v>
      </c>
      <c r="AE2" s="40">
        <v>44743</v>
      </c>
      <c r="AF2" s="40">
        <v>44774</v>
      </c>
      <c r="AG2" s="40">
        <v>44805</v>
      </c>
      <c r="AH2" s="40">
        <v>44835</v>
      </c>
      <c r="AI2" s="40">
        <v>44866</v>
      </c>
      <c r="AJ2" s="40">
        <v>44896</v>
      </c>
      <c r="AK2" s="41" t="s">
        <v>329</v>
      </c>
      <c r="AL2" s="42">
        <v>44197</v>
      </c>
      <c r="AM2" s="42">
        <v>44228</v>
      </c>
      <c r="AN2" s="42">
        <v>44256</v>
      </c>
      <c r="AO2" s="42">
        <v>44287</v>
      </c>
      <c r="AP2" s="42">
        <v>44317</v>
      </c>
      <c r="AQ2" s="42">
        <v>44348</v>
      </c>
      <c r="AR2" s="42">
        <v>44378</v>
      </c>
      <c r="AS2" s="42">
        <v>44409</v>
      </c>
      <c r="AT2" s="42">
        <v>44440</v>
      </c>
      <c r="AU2" s="42">
        <v>44470</v>
      </c>
      <c r="AV2" s="42">
        <v>44501</v>
      </c>
      <c r="AW2" s="42">
        <v>44531</v>
      </c>
      <c r="AX2" s="42">
        <v>44562</v>
      </c>
      <c r="AY2" s="42">
        <v>44593</v>
      </c>
      <c r="AZ2" s="42">
        <v>44621</v>
      </c>
      <c r="BA2" s="42">
        <v>44652</v>
      </c>
      <c r="BB2" s="42">
        <v>44682</v>
      </c>
      <c r="BC2" s="42">
        <v>44713</v>
      </c>
      <c r="BD2" s="42">
        <v>44743</v>
      </c>
      <c r="BE2" s="42">
        <v>44774</v>
      </c>
      <c r="BF2" s="42">
        <v>44805</v>
      </c>
      <c r="BG2" s="42">
        <v>44835</v>
      </c>
      <c r="BH2" s="42">
        <v>44866</v>
      </c>
      <c r="BI2" s="42">
        <v>44896</v>
      </c>
      <c r="BJ2" s="43" t="s">
        <v>329</v>
      </c>
      <c r="BK2" s="43" t="s">
        <v>330</v>
      </c>
      <c r="BL2" s="60"/>
      <c r="BM2" s="54"/>
      <c r="BN2" s="61" t="s">
        <v>331</v>
      </c>
    </row>
    <row r="3" spans="1:66" ht="45" x14ac:dyDescent="0.25">
      <c r="A3" s="54" t="str">
        <f>B3&amp;UPPER(C3)&amp;BM3</f>
        <v>Implantação da LGPD e controles de SI na APFDESEMPENHO1</v>
      </c>
      <c r="B3" s="29" t="s">
        <v>0</v>
      </c>
      <c r="C3" s="30" t="s">
        <v>332</v>
      </c>
      <c r="D3" s="30" t="s">
        <v>2</v>
      </c>
      <c r="E3" s="62" t="s">
        <v>333</v>
      </c>
      <c r="F3" s="62" t="s">
        <v>334</v>
      </c>
      <c r="G3" s="62" t="s">
        <v>335</v>
      </c>
      <c r="H3" s="63"/>
      <c r="I3" s="64"/>
      <c r="J3" s="63"/>
      <c r="K3" s="64"/>
      <c r="L3" s="65"/>
      <c r="M3" s="79">
        <v>2.6666666666666668E-2</v>
      </c>
      <c r="N3" s="79">
        <v>0.17333333333333334</v>
      </c>
      <c r="O3" s="79">
        <v>0.24</v>
      </c>
      <c r="P3" s="79">
        <v>0.49333333333333335</v>
      </c>
      <c r="Q3" s="81">
        <v>0.65333333333333332</v>
      </c>
      <c r="R3" s="79">
        <v>0.82666666666666666</v>
      </c>
      <c r="S3" s="79">
        <v>0.8666666666666667</v>
      </c>
      <c r="T3" s="79">
        <v>0.8666666666666667</v>
      </c>
      <c r="U3" s="79">
        <v>0.93333333333333335</v>
      </c>
      <c r="V3" s="79">
        <v>0.93333333333333335</v>
      </c>
      <c r="W3" s="79">
        <v>0.93333333333333335</v>
      </c>
      <c r="X3" s="79">
        <v>1</v>
      </c>
      <c r="Y3" s="79">
        <v>1</v>
      </c>
      <c r="Z3" s="79">
        <v>1</v>
      </c>
      <c r="AA3" s="79">
        <v>1</v>
      </c>
      <c r="AB3" s="79">
        <v>1</v>
      </c>
      <c r="AC3" s="81">
        <v>1</v>
      </c>
      <c r="AD3" s="79">
        <v>1</v>
      </c>
      <c r="AE3" s="79">
        <v>1</v>
      </c>
      <c r="AF3" s="79">
        <v>1</v>
      </c>
      <c r="AG3" s="79">
        <v>1</v>
      </c>
      <c r="AH3" s="79">
        <v>1</v>
      </c>
      <c r="AI3" s="79">
        <v>1</v>
      </c>
      <c r="AJ3" s="79">
        <v>1</v>
      </c>
      <c r="AK3" s="65" t="e">
        <f t="shared" ref="AK3:AK36" si="0">IF(LEN(HLOOKUP($B$1,$M$2:$AK$939,ROW(AK3)-1,0))=0,"",HLOOKUP($B$1,$M$2:$AK$939,ROW(AK3)-1,0))</f>
        <v>#REF!</v>
      </c>
      <c r="AL3" s="79">
        <v>0.10666666666666667</v>
      </c>
      <c r="AM3" s="79">
        <v>0.17333333333333334</v>
      </c>
      <c r="AN3" s="79">
        <v>0.22666666666666666</v>
      </c>
      <c r="AO3" s="79">
        <v>0.45333333333333331</v>
      </c>
      <c r="AP3" s="79">
        <v>0.58666666666666667</v>
      </c>
      <c r="AQ3" s="79">
        <v>0.58666666666666667</v>
      </c>
      <c r="AR3" s="79">
        <v>0.58666666666666667</v>
      </c>
      <c r="AS3" s="79">
        <v>0.58666666666666667</v>
      </c>
      <c r="AT3" s="79">
        <v>0.58666666666666667</v>
      </c>
      <c r="AU3" s="79">
        <v>0.58666666666666667</v>
      </c>
      <c r="AV3" s="79">
        <v>0.58666666666666667</v>
      </c>
      <c r="AW3" s="79">
        <v>0.58666666666666667</v>
      </c>
      <c r="AX3" s="79">
        <v>0.58666666666666667</v>
      </c>
      <c r="AY3" s="79">
        <v>0.58666666666666667</v>
      </c>
      <c r="AZ3" s="79">
        <v>0.58666666666666667</v>
      </c>
      <c r="BA3" s="79">
        <v>0.58666666666666667</v>
      </c>
      <c r="BB3" s="79">
        <v>0.58666666666666667</v>
      </c>
      <c r="BC3" s="79">
        <v>0.58666666666666667</v>
      </c>
      <c r="BD3" s="79">
        <v>0.58666666666666667</v>
      </c>
      <c r="BE3" s="79">
        <v>0.58666666666666667</v>
      </c>
      <c r="BF3" s="79">
        <v>0.58666666666666667</v>
      </c>
      <c r="BG3" s="79">
        <v>0.58666666666666667</v>
      </c>
      <c r="BH3" s="79">
        <v>0.58666666666666667</v>
      </c>
      <c r="BI3" s="79">
        <v>0.58666666666666667</v>
      </c>
      <c r="BJ3" s="65" t="e">
        <f t="shared" ref="BJ3:BJ36" si="1">IF(LEN(HLOOKUP($B$1,$AL$2:$BI$939,ROW(BJ3)-1,0))=0,"",HLOOKUP($B$1,$AL$2:$BI$939,ROW(BJ3)-1,0))</f>
        <v>#REF!</v>
      </c>
      <c r="BK3" s="65" t="str">
        <f>IFERROR(IF(H3&gt;J3,AK3/BJ3,BJ3/AK3),"")</f>
        <v/>
      </c>
      <c r="BL3" s="60"/>
      <c r="BM3" s="54">
        <f>IF(C2=C3,BM2+1,1)</f>
        <v>1</v>
      </c>
      <c r="BN3" s="61">
        <v>44354.425833333335</v>
      </c>
    </row>
    <row r="4" spans="1:66" ht="45" x14ac:dyDescent="0.25">
      <c r="A4" s="54" t="str">
        <f t="shared" ref="A4:A24" si="2">B4&amp;UPPER(C4)&amp;BM4</f>
        <v>Implantação da LGPD e controles de SI na APFDESEMPENHO2</v>
      </c>
      <c r="B4" s="31" t="s">
        <v>0</v>
      </c>
      <c r="C4" s="32" t="s">
        <v>332</v>
      </c>
      <c r="D4" s="32" t="s">
        <v>3</v>
      </c>
      <c r="E4" s="66" t="s">
        <v>336</v>
      </c>
      <c r="F4" s="66" t="s">
        <v>334</v>
      </c>
      <c r="G4" s="66" t="s">
        <v>335</v>
      </c>
      <c r="H4" s="67"/>
      <c r="I4" s="68"/>
      <c r="J4" s="67"/>
      <c r="K4" s="68"/>
      <c r="L4" s="69"/>
      <c r="M4" s="80">
        <v>0.75</v>
      </c>
      <c r="N4" s="80">
        <v>0.75</v>
      </c>
      <c r="O4" s="80">
        <v>0.75</v>
      </c>
      <c r="P4" s="80">
        <v>0.75</v>
      </c>
      <c r="Q4" s="80">
        <v>0.75</v>
      </c>
      <c r="R4" s="80">
        <v>0.75</v>
      </c>
      <c r="S4" s="80">
        <v>0.75</v>
      </c>
      <c r="T4" s="80">
        <v>0.75</v>
      </c>
      <c r="U4" s="80">
        <v>0.75</v>
      </c>
      <c r="V4" s="80">
        <v>0.75</v>
      </c>
      <c r="W4" s="80">
        <v>0.75</v>
      </c>
      <c r="X4" s="80">
        <v>0.75</v>
      </c>
      <c r="Y4" s="80">
        <v>0.75</v>
      </c>
      <c r="Z4" s="80">
        <v>0.75</v>
      </c>
      <c r="AA4" s="80">
        <v>0.75</v>
      </c>
      <c r="AB4" s="80">
        <v>0.75</v>
      </c>
      <c r="AC4" s="80">
        <v>0.75</v>
      </c>
      <c r="AD4" s="80">
        <v>0.75</v>
      </c>
      <c r="AE4" s="80">
        <v>0.75</v>
      </c>
      <c r="AF4" s="80">
        <v>0.75</v>
      </c>
      <c r="AG4" s="80">
        <v>0.75</v>
      </c>
      <c r="AH4" s="80">
        <v>0.75</v>
      </c>
      <c r="AI4" s="80">
        <v>0.75</v>
      </c>
      <c r="AJ4" s="80">
        <v>0.75</v>
      </c>
      <c r="AK4" s="65" t="e">
        <f t="shared" si="0"/>
        <v>#REF!</v>
      </c>
      <c r="AL4" s="80">
        <v>1</v>
      </c>
      <c r="AM4" s="80">
        <v>1</v>
      </c>
      <c r="AN4" s="80">
        <v>1</v>
      </c>
      <c r="AO4" s="80">
        <v>0.70588235294117652</v>
      </c>
      <c r="AP4" s="80">
        <v>0.59090909090909094</v>
      </c>
      <c r="AQ4" s="80">
        <v>0.59090909090909094</v>
      </c>
      <c r="AR4" s="80">
        <v>0.59090909090909094</v>
      </c>
      <c r="AS4" s="80">
        <v>0.59090909090909094</v>
      </c>
      <c r="AT4" s="80">
        <v>0.59090909090909094</v>
      </c>
      <c r="AU4" s="80">
        <v>0.59090909090909094</v>
      </c>
      <c r="AV4" s="80">
        <v>0.59090909090909094</v>
      </c>
      <c r="AW4" s="80">
        <v>0.59090909090909094</v>
      </c>
      <c r="AX4" s="80">
        <v>0.59090909090909094</v>
      </c>
      <c r="AY4" s="80">
        <v>0.59090909090909094</v>
      </c>
      <c r="AZ4" s="80">
        <v>0.59090909090909094</v>
      </c>
      <c r="BA4" s="80">
        <v>0.59090909090909094</v>
      </c>
      <c r="BB4" s="80">
        <v>0.59090909090909094</v>
      </c>
      <c r="BC4" s="80">
        <v>0.59090909090909094</v>
      </c>
      <c r="BD4" s="80">
        <v>0.59090909090909094</v>
      </c>
      <c r="BE4" s="80">
        <v>0.59090909090909094</v>
      </c>
      <c r="BF4" s="80">
        <v>0.59090909090909094</v>
      </c>
      <c r="BG4" s="80">
        <v>0.59090909090909094</v>
      </c>
      <c r="BH4" s="80">
        <v>0.59090909090909094</v>
      </c>
      <c r="BI4" s="80">
        <v>0.59090909090909094</v>
      </c>
      <c r="BJ4" s="65" t="e">
        <f t="shared" si="1"/>
        <v>#REF!</v>
      </c>
      <c r="BK4" s="65" t="str">
        <f t="shared" ref="BK4:BK24" si="3">IFERROR(IF(H4&gt;J4,AK4/BJ4,BJ4/AK4),"")</f>
        <v/>
      </c>
      <c r="BL4" s="60"/>
      <c r="BM4" s="54">
        <f t="shared" ref="BM4:BM24" si="4">IF(C3=C4,BM3+1,1)</f>
        <v>2</v>
      </c>
      <c r="BN4" s="61">
        <v>44354.425833333335</v>
      </c>
    </row>
    <row r="5" spans="1:66" ht="45" x14ac:dyDescent="0.25">
      <c r="A5" s="54" t="e">
        <f t="shared" si="2"/>
        <v>#REF!</v>
      </c>
      <c r="B5" s="29" t="s">
        <v>6</v>
      </c>
      <c r="C5" s="30" t="s">
        <v>332</v>
      </c>
      <c r="D5" s="71" t="s">
        <v>2</v>
      </c>
      <c r="E5" s="62" t="s">
        <v>333</v>
      </c>
      <c r="F5" s="62" t="s">
        <v>334</v>
      </c>
      <c r="G5" s="62" t="s">
        <v>335</v>
      </c>
      <c r="H5" s="63"/>
      <c r="I5" s="64"/>
      <c r="J5" s="63"/>
      <c r="K5" s="64"/>
      <c r="L5" s="65"/>
      <c r="M5" s="79">
        <v>8.1818181818181818E-2</v>
      </c>
      <c r="N5" s="79">
        <v>9.5454545454545459E-2</v>
      </c>
      <c r="O5" s="79">
        <v>0.13181818181818181</v>
      </c>
      <c r="P5" s="79">
        <v>0.16818181818181818</v>
      </c>
      <c r="Q5" s="79">
        <v>0.2</v>
      </c>
      <c r="R5" s="79">
        <v>0.24090909090909091</v>
      </c>
      <c r="S5" s="79">
        <v>0.32272727272727275</v>
      </c>
      <c r="T5" s="79">
        <v>0.36363636363636365</v>
      </c>
      <c r="U5" s="79">
        <v>0.42272727272727273</v>
      </c>
      <c r="V5" s="79">
        <v>0.45909090909090911</v>
      </c>
      <c r="W5" s="79">
        <v>0.51363636363636367</v>
      </c>
      <c r="X5" s="79">
        <v>0.54545454545454541</v>
      </c>
      <c r="Y5" s="79">
        <v>0.57727272727272727</v>
      </c>
      <c r="Z5" s="79">
        <v>0.6045454545454545</v>
      </c>
      <c r="AA5" s="79">
        <v>0.65454545454545454</v>
      </c>
      <c r="AB5" s="79">
        <v>0.6863636363636364</v>
      </c>
      <c r="AC5" s="79">
        <v>0.71363636363636362</v>
      </c>
      <c r="AD5" s="79">
        <v>0.75909090909090904</v>
      </c>
      <c r="AE5" s="79">
        <v>0.78181818181818186</v>
      </c>
      <c r="AF5" s="79">
        <v>0.84090909090909094</v>
      </c>
      <c r="AG5" s="79">
        <v>0.90454545454545454</v>
      </c>
      <c r="AH5" s="79">
        <v>0.92727272727272725</v>
      </c>
      <c r="AI5" s="79">
        <v>0.96363636363636362</v>
      </c>
      <c r="AJ5" s="79">
        <v>0.97727272727272729</v>
      </c>
      <c r="AK5" s="65" t="e">
        <f t="shared" si="0"/>
        <v>#REF!</v>
      </c>
      <c r="AL5" s="79">
        <v>8.1818181818181818E-2</v>
      </c>
      <c r="AM5" s="79">
        <v>9.5454545454545459E-2</v>
      </c>
      <c r="AN5" s="79">
        <v>0.12727272727272726</v>
      </c>
      <c r="AO5" s="79">
        <v>0.17272727272727273</v>
      </c>
      <c r="AP5" s="79">
        <v>0.19545454545454546</v>
      </c>
      <c r="AQ5" s="79">
        <v>0.19545454545454546</v>
      </c>
      <c r="AR5" s="79">
        <v>0.19545454545454546</v>
      </c>
      <c r="AS5" s="79">
        <v>0.19545454545454546</v>
      </c>
      <c r="AT5" s="79">
        <v>0.19545454545454546</v>
      </c>
      <c r="AU5" s="79">
        <v>0.19545454545454546</v>
      </c>
      <c r="AV5" s="79">
        <v>0.19545454545454546</v>
      </c>
      <c r="AW5" s="79">
        <v>0.19545454545454546</v>
      </c>
      <c r="AX5" s="79">
        <v>0.19545454545454546</v>
      </c>
      <c r="AY5" s="79">
        <v>0.19545454545454546</v>
      </c>
      <c r="AZ5" s="79">
        <v>0.19545454545454546</v>
      </c>
      <c r="BA5" s="79">
        <v>0.19545454545454546</v>
      </c>
      <c r="BB5" s="79">
        <v>0.19545454545454546</v>
      </c>
      <c r="BC5" s="79">
        <v>0.19545454545454546</v>
      </c>
      <c r="BD5" s="79">
        <v>0.19545454545454546</v>
      </c>
      <c r="BE5" s="79">
        <v>0.19545454545454546</v>
      </c>
      <c r="BF5" s="79">
        <v>0.19545454545454546</v>
      </c>
      <c r="BG5" s="79">
        <v>0.19545454545454546</v>
      </c>
      <c r="BH5" s="79">
        <v>0.19545454545454546</v>
      </c>
      <c r="BI5" s="79">
        <v>0.19545454545454546</v>
      </c>
      <c r="BJ5" s="65" t="e">
        <f t="shared" si="1"/>
        <v>#REF!</v>
      </c>
      <c r="BK5" s="65" t="str">
        <f t="shared" si="3"/>
        <v/>
      </c>
      <c r="BL5" s="60"/>
      <c r="BM5" s="54" t="e">
        <f>IF(#REF!=C5,#REF!+1,1)</f>
        <v>#REF!</v>
      </c>
      <c r="BN5" s="61">
        <v>44354.426435185182</v>
      </c>
    </row>
    <row r="6" spans="1:66" ht="45" x14ac:dyDescent="0.25">
      <c r="A6" s="54" t="e">
        <f t="shared" si="2"/>
        <v>#REF!</v>
      </c>
      <c r="B6" s="31" t="s">
        <v>6</v>
      </c>
      <c r="C6" s="32" t="s">
        <v>332</v>
      </c>
      <c r="D6" s="70" t="s">
        <v>3</v>
      </c>
      <c r="E6" s="66" t="s">
        <v>336</v>
      </c>
      <c r="F6" s="66" t="s">
        <v>334</v>
      </c>
      <c r="G6" s="66" t="s">
        <v>335</v>
      </c>
      <c r="H6" s="67"/>
      <c r="I6" s="68"/>
      <c r="J6" s="67"/>
      <c r="K6" s="68"/>
      <c r="L6" s="69"/>
      <c r="M6" s="80">
        <v>0.75</v>
      </c>
      <c r="N6" s="80">
        <v>0.75</v>
      </c>
      <c r="O6" s="80">
        <v>0.75</v>
      </c>
      <c r="P6" s="80">
        <v>0.75</v>
      </c>
      <c r="Q6" s="80">
        <v>0.75</v>
      </c>
      <c r="R6" s="80">
        <v>0.75</v>
      </c>
      <c r="S6" s="80">
        <v>0.75</v>
      </c>
      <c r="T6" s="80">
        <v>0.75</v>
      </c>
      <c r="U6" s="80">
        <v>0.75</v>
      </c>
      <c r="V6" s="80">
        <v>0.75</v>
      </c>
      <c r="W6" s="80">
        <v>0.75</v>
      </c>
      <c r="X6" s="80">
        <v>0.75</v>
      </c>
      <c r="Y6" s="80">
        <v>0.75</v>
      </c>
      <c r="Z6" s="80">
        <v>0.75</v>
      </c>
      <c r="AA6" s="80">
        <v>0.75</v>
      </c>
      <c r="AB6" s="80">
        <v>0.75</v>
      </c>
      <c r="AC6" s="80">
        <v>0.75</v>
      </c>
      <c r="AD6" s="80">
        <v>0.75</v>
      </c>
      <c r="AE6" s="80">
        <v>0.75</v>
      </c>
      <c r="AF6" s="80">
        <v>0.75</v>
      </c>
      <c r="AG6" s="80">
        <v>0.75</v>
      </c>
      <c r="AH6" s="80">
        <v>0.75</v>
      </c>
      <c r="AI6" s="80">
        <v>0.75</v>
      </c>
      <c r="AJ6" s="80">
        <v>0.75</v>
      </c>
      <c r="AK6" s="65" t="e">
        <f t="shared" si="0"/>
        <v>#REF!</v>
      </c>
      <c r="AL6" s="80">
        <v>0.72222222222222221</v>
      </c>
      <c r="AM6" s="80">
        <v>0.76190476190476186</v>
      </c>
      <c r="AN6" s="80">
        <v>0.8214285714285714</v>
      </c>
      <c r="AO6" s="80">
        <v>0.73684210526315785</v>
      </c>
      <c r="AP6" s="80">
        <v>0.76744186046511631</v>
      </c>
      <c r="AQ6" s="80">
        <v>0.76744186046511631</v>
      </c>
      <c r="AR6" s="80">
        <v>0.76744186046511631</v>
      </c>
      <c r="AS6" s="80">
        <v>0.76744186046511631</v>
      </c>
      <c r="AT6" s="80">
        <v>0.76744186046511631</v>
      </c>
      <c r="AU6" s="80">
        <v>0.76744186046511631</v>
      </c>
      <c r="AV6" s="80">
        <v>0.76744186046511631</v>
      </c>
      <c r="AW6" s="80">
        <v>0.76744186046511631</v>
      </c>
      <c r="AX6" s="80">
        <v>0.76744186046511631</v>
      </c>
      <c r="AY6" s="80">
        <v>0.76744186046511631</v>
      </c>
      <c r="AZ6" s="80">
        <v>0.76744186046511631</v>
      </c>
      <c r="BA6" s="80">
        <v>0.76744186046511631</v>
      </c>
      <c r="BB6" s="80">
        <v>0.76744186046511631</v>
      </c>
      <c r="BC6" s="80">
        <v>0.76744186046511631</v>
      </c>
      <c r="BD6" s="80">
        <v>0.76744186046511631</v>
      </c>
      <c r="BE6" s="80">
        <v>0.76744186046511631</v>
      </c>
      <c r="BF6" s="80">
        <v>0.76744186046511631</v>
      </c>
      <c r="BG6" s="80">
        <v>0.76744186046511631</v>
      </c>
      <c r="BH6" s="80">
        <v>0.76744186046511631</v>
      </c>
      <c r="BI6" s="80">
        <v>0.76744186046511631</v>
      </c>
      <c r="BJ6" s="65" t="e">
        <f t="shared" si="1"/>
        <v>#REF!</v>
      </c>
      <c r="BK6" s="65" t="str">
        <f t="shared" si="3"/>
        <v/>
      </c>
      <c r="BL6" s="60"/>
      <c r="BM6" s="54" t="e">
        <f t="shared" si="4"/>
        <v>#REF!</v>
      </c>
      <c r="BN6" s="61">
        <v>44354.426435185182</v>
      </c>
    </row>
    <row r="7" spans="1:66" ht="45" x14ac:dyDescent="0.25">
      <c r="A7" s="54" t="e">
        <f t="shared" si="2"/>
        <v>#REF!</v>
      </c>
      <c r="B7" s="29" t="s">
        <v>7</v>
      </c>
      <c r="C7" s="30" t="s">
        <v>332</v>
      </c>
      <c r="D7" s="30" t="s">
        <v>2</v>
      </c>
      <c r="E7" s="62" t="s">
        <v>336</v>
      </c>
      <c r="F7" s="62" t="s">
        <v>334</v>
      </c>
      <c r="G7" s="62"/>
      <c r="H7" s="63"/>
      <c r="I7" s="64"/>
      <c r="J7" s="63"/>
      <c r="K7" s="64"/>
      <c r="L7" s="65"/>
      <c r="M7" s="79">
        <v>3.3707865168539325E-2</v>
      </c>
      <c r="N7" s="82">
        <v>5.6179775280898875E-2</v>
      </c>
      <c r="O7" s="79">
        <v>0.1797752808988764</v>
      </c>
      <c r="P7" s="79">
        <v>0.2808988764044944</v>
      </c>
      <c r="Q7" s="79">
        <v>0.43820224719101125</v>
      </c>
      <c r="R7" s="79">
        <v>0.5842696629213483</v>
      </c>
      <c r="S7" s="79">
        <v>0.7865168539325843</v>
      </c>
      <c r="T7" s="79">
        <v>0.8314606741573034</v>
      </c>
      <c r="U7" s="79">
        <v>0.898876404494382</v>
      </c>
      <c r="V7" s="79">
        <v>0.9438202247191011</v>
      </c>
      <c r="W7" s="79">
        <v>0.9662921348314607</v>
      </c>
      <c r="X7" s="79">
        <v>1</v>
      </c>
      <c r="Y7" s="79">
        <v>1</v>
      </c>
      <c r="Z7" s="79">
        <v>1</v>
      </c>
      <c r="AA7" s="79">
        <v>1</v>
      </c>
      <c r="AB7" s="79">
        <v>1</v>
      </c>
      <c r="AC7" s="79">
        <v>1</v>
      </c>
      <c r="AD7" s="79">
        <v>1</v>
      </c>
      <c r="AE7" s="79">
        <v>1</v>
      </c>
      <c r="AF7" s="79">
        <v>1</v>
      </c>
      <c r="AG7" s="79">
        <v>1</v>
      </c>
      <c r="AH7" s="79">
        <v>1</v>
      </c>
      <c r="AI7" s="79">
        <v>1</v>
      </c>
      <c r="AJ7" s="79">
        <v>1</v>
      </c>
      <c r="AK7" s="65" t="e">
        <f t="shared" si="0"/>
        <v>#REF!</v>
      </c>
      <c r="AL7" s="79">
        <v>3.3707865168539325E-2</v>
      </c>
      <c r="AM7" s="79">
        <v>5.6179775280898875E-2</v>
      </c>
      <c r="AN7" s="79">
        <v>0.1797752808988764</v>
      </c>
      <c r="AO7" s="79">
        <v>0.2696629213483146</v>
      </c>
      <c r="AP7" s="79">
        <v>0.43820224719101125</v>
      </c>
      <c r="AQ7" s="79">
        <v>0.47191011235955055</v>
      </c>
      <c r="AR7" s="79">
        <v>0.47191011235955055</v>
      </c>
      <c r="AS7" s="79">
        <v>0.47191011235955055</v>
      </c>
      <c r="AT7" s="79">
        <v>0.47191011235955055</v>
      </c>
      <c r="AU7" s="79">
        <v>0.47191011235955055</v>
      </c>
      <c r="AV7" s="79">
        <v>0.47191011235955055</v>
      </c>
      <c r="AW7" s="79">
        <v>0.47191011235955055</v>
      </c>
      <c r="AX7" s="79">
        <v>0.47191011235955055</v>
      </c>
      <c r="AY7" s="79">
        <v>0.47191011235955055</v>
      </c>
      <c r="AZ7" s="79">
        <v>0.47191011235955055</v>
      </c>
      <c r="BA7" s="79">
        <v>0.47191011235955055</v>
      </c>
      <c r="BB7" s="79">
        <v>0.47191011235955055</v>
      </c>
      <c r="BC7" s="79">
        <v>0.47191011235955055</v>
      </c>
      <c r="BD7" s="79">
        <v>0.47191011235955055</v>
      </c>
      <c r="BE7" s="79">
        <v>0.47191011235955055</v>
      </c>
      <c r="BF7" s="79">
        <v>0.47191011235955055</v>
      </c>
      <c r="BG7" s="79">
        <v>0.47191011235955055</v>
      </c>
      <c r="BH7" s="79">
        <v>0.47191011235955055</v>
      </c>
      <c r="BI7" s="79">
        <v>0.47191011235955055</v>
      </c>
      <c r="BJ7" s="65" t="e">
        <f t="shared" si="1"/>
        <v>#REF!</v>
      </c>
      <c r="BK7" s="65" t="str">
        <f t="shared" si="3"/>
        <v/>
      </c>
      <c r="BL7" s="60"/>
      <c r="BM7" s="54" t="e">
        <f>IF(#REF!=C7,#REF!+1,1)</f>
        <v>#REF!</v>
      </c>
      <c r="BN7" s="61">
        <v>44354.426840277774</v>
      </c>
    </row>
    <row r="8" spans="1:66" ht="45" x14ac:dyDescent="0.25">
      <c r="A8" s="54" t="e">
        <f t="shared" si="2"/>
        <v>#REF!</v>
      </c>
      <c r="B8" s="31" t="s">
        <v>7</v>
      </c>
      <c r="C8" s="32" t="s">
        <v>332</v>
      </c>
      <c r="D8" s="70" t="s">
        <v>3</v>
      </c>
      <c r="E8" s="66" t="s">
        <v>333</v>
      </c>
      <c r="F8" s="66" t="s">
        <v>334</v>
      </c>
      <c r="G8" s="66"/>
      <c r="H8" s="67"/>
      <c r="I8" s="68"/>
      <c r="J8" s="67"/>
      <c r="K8" s="68"/>
      <c r="L8" s="69"/>
      <c r="M8" s="80">
        <v>0.75</v>
      </c>
      <c r="N8" s="80">
        <v>0.75</v>
      </c>
      <c r="O8" s="80">
        <v>0.75</v>
      </c>
      <c r="P8" s="80">
        <v>0.75</v>
      </c>
      <c r="Q8" s="80">
        <v>0.75</v>
      </c>
      <c r="R8" s="80">
        <v>0.75</v>
      </c>
      <c r="S8" s="80">
        <v>0.75</v>
      </c>
      <c r="T8" s="80">
        <v>0.75</v>
      </c>
      <c r="U8" s="80">
        <v>0.75</v>
      </c>
      <c r="V8" s="80">
        <v>0.75</v>
      </c>
      <c r="W8" s="80">
        <v>0.75</v>
      </c>
      <c r="X8" s="80">
        <v>0.75</v>
      </c>
      <c r="Y8" s="80">
        <v>0.75</v>
      </c>
      <c r="Z8" s="80">
        <v>0.75</v>
      </c>
      <c r="AA8" s="80">
        <v>0.75</v>
      </c>
      <c r="AB8" s="80">
        <v>0.75</v>
      </c>
      <c r="AC8" s="80">
        <v>0.75</v>
      </c>
      <c r="AD8" s="80">
        <v>0.75</v>
      </c>
      <c r="AE8" s="80">
        <v>0.75</v>
      </c>
      <c r="AF8" s="80">
        <v>0.75</v>
      </c>
      <c r="AG8" s="80">
        <v>0.75</v>
      </c>
      <c r="AH8" s="80">
        <v>0.75</v>
      </c>
      <c r="AI8" s="80">
        <v>0.75</v>
      </c>
      <c r="AJ8" s="80">
        <v>0.75</v>
      </c>
      <c r="AK8" s="65" t="e">
        <f t="shared" si="0"/>
        <v>#REF!</v>
      </c>
      <c r="AL8" s="80">
        <v>1</v>
      </c>
      <c r="AM8" s="80">
        <v>0.8</v>
      </c>
      <c r="AN8" s="80">
        <v>0.875</v>
      </c>
      <c r="AO8" s="80">
        <v>0.875</v>
      </c>
      <c r="AP8" s="80">
        <v>0.87179487179487181</v>
      </c>
      <c r="AQ8" s="80">
        <v>0.88095238095238093</v>
      </c>
      <c r="AR8" s="80">
        <v>0.88095238095238093</v>
      </c>
      <c r="AS8" s="80">
        <v>0.88095238095238093</v>
      </c>
      <c r="AT8" s="80">
        <v>0.88095238095238093</v>
      </c>
      <c r="AU8" s="80">
        <v>0.88095238095238093</v>
      </c>
      <c r="AV8" s="80">
        <v>0.88095238095238093</v>
      </c>
      <c r="AW8" s="80">
        <v>0.88095238095238093</v>
      </c>
      <c r="AX8" s="80">
        <v>0.88095238095238093</v>
      </c>
      <c r="AY8" s="80">
        <v>0.88095238095238093</v>
      </c>
      <c r="AZ8" s="80">
        <v>0.88095238095238093</v>
      </c>
      <c r="BA8" s="80">
        <v>0.88095238095238093</v>
      </c>
      <c r="BB8" s="80">
        <v>0.88095238095238093</v>
      </c>
      <c r="BC8" s="80">
        <v>0.88095238095238093</v>
      </c>
      <c r="BD8" s="80">
        <v>0.88095238095238093</v>
      </c>
      <c r="BE8" s="80">
        <v>0.88095238095238093</v>
      </c>
      <c r="BF8" s="80">
        <v>0.88095238095238093</v>
      </c>
      <c r="BG8" s="80">
        <v>0.88095238095238093</v>
      </c>
      <c r="BH8" s="80">
        <v>0.88095238095238093</v>
      </c>
      <c r="BI8" s="80">
        <v>0.88095238095238093</v>
      </c>
      <c r="BJ8" s="65" t="e">
        <f t="shared" si="1"/>
        <v>#REF!</v>
      </c>
      <c r="BK8" s="65" t="str">
        <f t="shared" si="3"/>
        <v/>
      </c>
      <c r="BL8" s="60"/>
      <c r="BM8" s="54" t="e">
        <f t="shared" si="4"/>
        <v>#REF!</v>
      </c>
      <c r="BN8" s="61">
        <v>44354.426840277774</v>
      </c>
    </row>
    <row r="9" spans="1:66" ht="45" x14ac:dyDescent="0.25">
      <c r="A9" s="54" t="e">
        <f t="shared" si="2"/>
        <v>#REF!</v>
      </c>
      <c r="B9" s="29" t="s">
        <v>50</v>
      </c>
      <c r="C9" s="30" t="s">
        <v>332</v>
      </c>
      <c r="D9" s="30" t="s">
        <v>2</v>
      </c>
      <c r="E9" s="62" t="s">
        <v>333</v>
      </c>
      <c r="F9" s="62" t="s">
        <v>334</v>
      </c>
      <c r="G9" s="62"/>
      <c r="H9" s="63"/>
      <c r="I9" s="64"/>
      <c r="J9" s="63"/>
      <c r="K9" s="64"/>
      <c r="L9" s="65"/>
      <c r="M9" s="79">
        <v>0.13953488372093023</v>
      </c>
      <c r="N9" s="79">
        <v>0.23255813953488372</v>
      </c>
      <c r="O9" s="79">
        <v>0.30232558139534882</v>
      </c>
      <c r="P9" s="79">
        <v>0.37209302325581395</v>
      </c>
      <c r="Q9" s="79">
        <v>0.46511627906976744</v>
      </c>
      <c r="R9" s="79">
        <v>0.67441860465116277</v>
      </c>
      <c r="S9" s="79">
        <v>0.79069767441860461</v>
      </c>
      <c r="T9" s="79">
        <v>0.81395348837209303</v>
      </c>
      <c r="U9" s="79">
        <v>0.88372093023255816</v>
      </c>
      <c r="V9" s="79">
        <v>0.90697674418604646</v>
      </c>
      <c r="W9" s="79">
        <v>0.95348837209302328</v>
      </c>
      <c r="X9" s="79">
        <v>1</v>
      </c>
      <c r="Y9" s="79">
        <v>1</v>
      </c>
      <c r="Z9" s="79">
        <v>1</v>
      </c>
      <c r="AA9" s="79">
        <v>1</v>
      </c>
      <c r="AB9" s="79">
        <v>1</v>
      </c>
      <c r="AC9" s="79">
        <v>1</v>
      </c>
      <c r="AD9" s="79">
        <v>1</v>
      </c>
      <c r="AE9" s="79">
        <v>1</v>
      </c>
      <c r="AF9" s="79">
        <v>1</v>
      </c>
      <c r="AG9" s="79">
        <v>1</v>
      </c>
      <c r="AH9" s="79">
        <v>1</v>
      </c>
      <c r="AI9" s="79">
        <v>1</v>
      </c>
      <c r="AJ9" s="79">
        <v>1</v>
      </c>
      <c r="AK9" s="65" t="e">
        <f t="shared" si="0"/>
        <v>#REF!</v>
      </c>
      <c r="AL9" s="79">
        <v>0.16279069767441862</v>
      </c>
      <c r="AM9" s="79">
        <v>0.23255813953488372</v>
      </c>
      <c r="AN9" s="79">
        <v>0.27906976744186046</v>
      </c>
      <c r="AO9" s="79">
        <v>0.39534883720930231</v>
      </c>
      <c r="AP9" s="79">
        <v>0.41860465116279072</v>
      </c>
      <c r="AQ9" s="79">
        <v>0.41860465116279072</v>
      </c>
      <c r="AR9" s="79">
        <v>0.41860465116279072</v>
      </c>
      <c r="AS9" s="79">
        <v>0.41860465116279072</v>
      </c>
      <c r="AT9" s="79">
        <v>0.41860465116279072</v>
      </c>
      <c r="AU9" s="79">
        <v>0.41860465116279072</v>
      </c>
      <c r="AV9" s="79">
        <v>0.41860465116279072</v>
      </c>
      <c r="AW9" s="79">
        <v>0.41860465116279072</v>
      </c>
      <c r="AX9" s="79">
        <v>0.41860465116279072</v>
      </c>
      <c r="AY9" s="79">
        <v>0.41860465116279072</v>
      </c>
      <c r="AZ9" s="79">
        <v>0.41860465116279072</v>
      </c>
      <c r="BA9" s="79">
        <v>0.41860465116279072</v>
      </c>
      <c r="BB9" s="79">
        <v>0.41860465116279072</v>
      </c>
      <c r="BC9" s="79">
        <v>0.41860465116279072</v>
      </c>
      <c r="BD9" s="79">
        <v>0.41860465116279072</v>
      </c>
      <c r="BE9" s="79">
        <v>0.41860465116279072</v>
      </c>
      <c r="BF9" s="79">
        <v>0.41860465116279072</v>
      </c>
      <c r="BG9" s="79">
        <v>0.41860465116279072</v>
      </c>
      <c r="BH9" s="79">
        <v>0.41860465116279072</v>
      </c>
      <c r="BI9" s="79">
        <v>0.41860465116279072</v>
      </c>
      <c r="BJ9" s="65" t="e">
        <f t="shared" si="1"/>
        <v>#REF!</v>
      </c>
      <c r="BK9" s="65" t="str">
        <f t="shared" si="3"/>
        <v/>
      </c>
      <c r="BL9" s="60"/>
      <c r="BM9" s="54" t="e">
        <f>IF(#REF!=C9,#REF!+1,1)</f>
        <v>#REF!</v>
      </c>
      <c r="BN9" s="61">
        <v>44354.427291666667</v>
      </c>
    </row>
    <row r="10" spans="1:66" ht="45" x14ac:dyDescent="0.25">
      <c r="A10" s="54" t="e">
        <f t="shared" si="2"/>
        <v>#REF!</v>
      </c>
      <c r="B10" s="31" t="s">
        <v>50</v>
      </c>
      <c r="C10" s="32" t="s">
        <v>332</v>
      </c>
      <c r="D10" s="32" t="s">
        <v>3</v>
      </c>
      <c r="E10" s="66" t="s">
        <v>336</v>
      </c>
      <c r="F10" s="66" t="s">
        <v>334</v>
      </c>
      <c r="G10" s="66"/>
      <c r="H10" s="67"/>
      <c r="I10" s="68"/>
      <c r="J10" s="67"/>
      <c r="K10" s="68"/>
      <c r="L10" s="69"/>
      <c r="M10" s="80">
        <v>0.75</v>
      </c>
      <c r="N10" s="80">
        <v>0.75</v>
      </c>
      <c r="O10" s="80">
        <v>0.75</v>
      </c>
      <c r="P10" s="80">
        <v>0.75</v>
      </c>
      <c r="Q10" s="80">
        <v>0.75</v>
      </c>
      <c r="R10" s="80">
        <v>0.75</v>
      </c>
      <c r="S10" s="80">
        <v>0.75</v>
      </c>
      <c r="T10" s="80">
        <v>0.75</v>
      </c>
      <c r="U10" s="80">
        <v>0.75</v>
      </c>
      <c r="V10" s="80">
        <v>0.75</v>
      </c>
      <c r="W10" s="80">
        <v>0.75</v>
      </c>
      <c r="X10" s="80">
        <v>0.75</v>
      </c>
      <c r="Y10" s="80">
        <v>0.75</v>
      </c>
      <c r="Z10" s="80">
        <v>0.75</v>
      </c>
      <c r="AA10" s="80">
        <v>0.75</v>
      </c>
      <c r="AB10" s="80">
        <v>0.75</v>
      </c>
      <c r="AC10" s="80">
        <v>0.75</v>
      </c>
      <c r="AD10" s="80">
        <v>0.75</v>
      </c>
      <c r="AE10" s="80">
        <v>0.75</v>
      </c>
      <c r="AF10" s="80">
        <v>0.75</v>
      </c>
      <c r="AG10" s="80">
        <v>0.75</v>
      </c>
      <c r="AH10" s="80">
        <v>0.75</v>
      </c>
      <c r="AI10" s="80">
        <v>0.75</v>
      </c>
      <c r="AJ10" s="80">
        <v>0.75</v>
      </c>
      <c r="AK10" s="65" t="e">
        <f t="shared" si="0"/>
        <v>#REF!</v>
      </c>
      <c r="AL10" s="80">
        <v>1</v>
      </c>
      <c r="AM10" s="80">
        <v>1</v>
      </c>
      <c r="AN10" s="80">
        <v>1</v>
      </c>
      <c r="AO10" s="80">
        <v>0.94117647058823528</v>
      </c>
      <c r="AP10" s="80">
        <v>0.94444444444444442</v>
      </c>
      <c r="AQ10" s="80">
        <v>0.94444444444444442</v>
      </c>
      <c r="AR10" s="80">
        <v>0.94444444444444442</v>
      </c>
      <c r="AS10" s="80">
        <v>0.94444444444444442</v>
      </c>
      <c r="AT10" s="80">
        <v>0.94444444444444442</v>
      </c>
      <c r="AU10" s="80">
        <v>0.94444444444444442</v>
      </c>
      <c r="AV10" s="80">
        <v>0.94444444444444442</v>
      </c>
      <c r="AW10" s="80">
        <v>0.94444444444444442</v>
      </c>
      <c r="AX10" s="80">
        <v>0.94444444444444442</v>
      </c>
      <c r="AY10" s="80">
        <v>0.94444444444444442</v>
      </c>
      <c r="AZ10" s="80">
        <v>0.94444444444444442</v>
      </c>
      <c r="BA10" s="80">
        <v>0.94444444444444442</v>
      </c>
      <c r="BB10" s="80">
        <v>0.94444444444444442</v>
      </c>
      <c r="BC10" s="80">
        <v>0.94444444444444442</v>
      </c>
      <c r="BD10" s="80">
        <v>0.94444444444444442</v>
      </c>
      <c r="BE10" s="80">
        <v>0.94444444444444442</v>
      </c>
      <c r="BF10" s="80">
        <v>0.94444444444444442</v>
      </c>
      <c r="BG10" s="80">
        <v>0.94444444444444442</v>
      </c>
      <c r="BH10" s="80">
        <v>0.94444444444444442</v>
      </c>
      <c r="BI10" s="80">
        <v>0.94444444444444442</v>
      </c>
      <c r="BJ10" s="65" t="e">
        <f t="shared" si="1"/>
        <v>#REF!</v>
      </c>
      <c r="BK10" s="65" t="str">
        <f t="shared" si="3"/>
        <v/>
      </c>
      <c r="BL10" s="60"/>
      <c r="BM10" s="54" t="e">
        <f t="shared" si="4"/>
        <v>#REF!</v>
      </c>
      <c r="BN10" s="61">
        <v>44354.427291666667</v>
      </c>
    </row>
    <row r="11" spans="1:66" ht="45" x14ac:dyDescent="0.25">
      <c r="A11" s="54" t="e">
        <f t="shared" si="2"/>
        <v>#REF!</v>
      </c>
      <c r="B11" s="29" t="s">
        <v>8</v>
      </c>
      <c r="C11" s="30" t="s">
        <v>332</v>
      </c>
      <c r="D11" s="71" t="s">
        <v>2</v>
      </c>
      <c r="E11" s="62" t="s">
        <v>333</v>
      </c>
      <c r="F11" s="62" t="s">
        <v>334</v>
      </c>
      <c r="G11" s="62" t="s">
        <v>335</v>
      </c>
      <c r="H11" s="63"/>
      <c r="I11" s="64"/>
      <c r="J11" s="63"/>
      <c r="K11" s="64"/>
      <c r="L11" s="65"/>
      <c r="M11" s="79">
        <v>0</v>
      </c>
      <c r="N11" s="79">
        <v>0</v>
      </c>
      <c r="O11" s="79">
        <v>0</v>
      </c>
      <c r="P11" s="79">
        <v>4.878048780487805E-2</v>
      </c>
      <c r="Q11" s="79">
        <v>0.18292682926829268</v>
      </c>
      <c r="R11" s="79">
        <v>0.31707317073170732</v>
      </c>
      <c r="S11" s="79">
        <v>0.35365853658536583</v>
      </c>
      <c r="T11" s="79">
        <v>0.6097560975609756</v>
      </c>
      <c r="U11" s="79">
        <v>0.69512195121951215</v>
      </c>
      <c r="V11" s="79">
        <v>0.85365853658536583</v>
      </c>
      <c r="W11" s="79">
        <v>0.95121951219512191</v>
      </c>
      <c r="X11" s="79">
        <v>0.95121951219512191</v>
      </c>
      <c r="Y11" s="79">
        <v>0.95121951219512191</v>
      </c>
      <c r="Z11" s="79">
        <v>0.97560975609756095</v>
      </c>
      <c r="AA11" s="79">
        <v>0.98780487804878048</v>
      </c>
      <c r="AB11" s="79">
        <v>1</v>
      </c>
      <c r="AC11" s="79">
        <v>1</v>
      </c>
      <c r="AD11" s="79">
        <v>1</v>
      </c>
      <c r="AE11" s="79">
        <v>1</v>
      </c>
      <c r="AF11" s="79">
        <v>1</v>
      </c>
      <c r="AG11" s="79">
        <v>1</v>
      </c>
      <c r="AH11" s="79">
        <v>1</v>
      </c>
      <c r="AI11" s="79">
        <v>1</v>
      </c>
      <c r="AJ11" s="79">
        <v>1</v>
      </c>
      <c r="AK11" s="65" t="e">
        <f t="shared" si="0"/>
        <v>#REF!</v>
      </c>
      <c r="AL11" s="79">
        <v>0</v>
      </c>
      <c r="AM11" s="79">
        <v>0</v>
      </c>
      <c r="AN11" s="79">
        <v>0</v>
      </c>
      <c r="AO11" s="79">
        <v>7.3170731707317069E-2</v>
      </c>
      <c r="AP11" s="79">
        <v>0.12195121951219512</v>
      </c>
      <c r="AQ11" s="79">
        <v>0.12195121951219512</v>
      </c>
      <c r="AR11" s="79">
        <v>0.12195121951219512</v>
      </c>
      <c r="AS11" s="79">
        <v>0.12195121951219512</v>
      </c>
      <c r="AT11" s="79">
        <v>0.12195121951219512</v>
      </c>
      <c r="AU11" s="79">
        <v>0.12195121951219512</v>
      </c>
      <c r="AV11" s="79">
        <v>0.12195121951219512</v>
      </c>
      <c r="AW11" s="79">
        <v>0.12195121951219512</v>
      </c>
      <c r="AX11" s="79">
        <v>0.12195121951219512</v>
      </c>
      <c r="AY11" s="79">
        <v>0.12195121951219512</v>
      </c>
      <c r="AZ11" s="79">
        <v>0.12195121951219512</v>
      </c>
      <c r="BA11" s="79">
        <v>0.12195121951219512</v>
      </c>
      <c r="BB11" s="79">
        <v>0.12195121951219512</v>
      </c>
      <c r="BC11" s="79">
        <v>0.12195121951219512</v>
      </c>
      <c r="BD11" s="79">
        <v>0.12195121951219512</v>
      </c>
      <c r="BE11" s="79">
        <v>0.12195121951219512</v>
      </c>
      <c r="BF11" s="79">
        <v>0.12195121951219512</v>
      </c>
      <c r="BG11" s="79">
        <v>0.12195121951219512</v>
      </c>
      <c r="BH11" s="79">
        <v>0.12195121951219512</v>
      </c>
      <c r="BI11" s="79">
        <v>0.12195121951219512</v>
      </c>
      <c r="BJ11" s="65" t="e">
        <f t="shared" si="1"/>
        <v>#REF!</v>
      </c>
      <c r="BK11" s="65" t="str">
        <f t="shared" si="3"/>
        <v/>
      </c>
      <c r="BL11" s="60"/>
      <c r="BM11" s="54" t="e">
        <f>IF(#REF!=C11,#REF!+1,1)</f>
        <v>#REF!</v>
      </c>
      <c r="BN11" s="61">
        <v>44354.427662037036</v>
      </c>
    </row>
    <row r="12" spans="1:66" ht="45" x14ac:dyDescent="0.25">
      <c r="A12" s="54" t="e">
        <f t="shared" si="2"/>
        <v>#REF!</v>
      </c>
      <c r="B12" s="31" t="s">
        <v>8</v>
      </c>
      <c r="C12" s="32" t="s">
        <v>332</v>
      </c>
      <c r="D12" s="70" t="s">
        <v>3</v>
      </c>
      <c r="E12" s="66" t="s">
        <v>336</v>
      </c>
      <c r="F12" s="66" t="s">
        <v>334</v>
      </c>
      <c r="G12" s="66" t="s">
        <v>335</v>
      </c>
      <c r="H12" s="67"/>
      <c r="I12" s="68"/>
      <c r="J12" s="67"/>
      <c r="K12" s="68"/>
      <c r="L12" s="69"/>
      <c r="M12" s="80">
        <v>0.75</v>
      </c>
      <c r="N12" s="80">
        <v>0.75</v>
      </c>
      <c r="O12" s="80">
        <v>0.75</v>
      </c>
      <c r="P12" s="80">
        <v>0.75</v>
      </c>
      <c r="Q12" s="80">
        <v>0.75</v>
      </c>
      <c r="R12" s="80">
        <v>0.75</v>
      </c>
      <c r="S12" s="80">
        <v>0.75</v>
      </c>
      <c r="T12" s="80">
        <v>0.75</v>
      </c>
      <c r="U12" s="80">
        <v>0.75</v>
      </c>
      <c r="V12" s="80">
        <v>0.75</v>
      </c>
      <c r="W12" s="80">
        <v>0.75</v>
      </c>
      <c r="X12" s="80">
        <v>0.75</v>
      </c>
      <c r="Y12" s="80">
        <v>0.75</v>
      </c>
      <c r="Z12" s="80">
        <v>0.75</v>
      </c>
      <c r="AA12" s="80">
        <v>0.75</v>
      </c>
      <c r="AB12" s="80">
        <v>0.75</v>
      </c>
      <c r="AC12" s="80">
        <v>0.75</v>
      </c>
      <c r="AD12" s="80">
        <v>0.75</v>
      </c>
      <c r="AE12" s="80">
        <v>0.75</v>
      </c>
      <c r="AF12" s="80">
        <v>0.75</v>
      </c>
      <c r="AG12" s="80">
        <v>0.75</v>
      </c>
      <c r="AH12" s="80">
        <v>0.75</v>
      </c>
      <c r="AI12" s="80">
        <v>0.75</v>
      </c>
      <c r="AJ12" s="80">
        <v>0.75</v>
      </c>
      <c r="AK12" s="65" t="e">
        <f t="shared" si="0"/>
        <v>#REF!</v>
      </c>
      <c r="AL12" s="80">
        <v>0</v>
      </c>
      <c r="AM12" s="80">
        <v>0</v>
      </c>
      <c r="AN12" s="80">
        <v>0</v>
      </c>
      <c r="AO12" s="80">
        <v>1</v>
      </c>
      <c r="AP12" s="80">
        <v>1</v>
      </c>
      <c r="AQ12" s="80">
        <v>1</v>
      </c>
      <c r="AR12" s="80">
        <v>1</v>
      </c>
      <c r="AS12" s="80">
        <v>1</v>
      </c>
      <c r="AT12" s="80">
        <v>1</v>
      </c>
      <c r="AU12" s="80">
        <v>1</v>
      </c>
      <c r="AV12" s="80">
        <v>1</v>
      </c>
      <c r="AW12" s="80">
        <v>1</v>
      </c>
      <c r="AX12" s="80">
        <v>1</v>
      </c>
      <c r="AY12" s="80">
        <v>1</v>
      </c>
      <c r="AZ12" s="80">
        <v>1</v>
      </c>
      <c r="BA12" s="80">
        <v>1</v>
      </c>
      <c r="BB12" s="80">
        <v>1</v>
      </c>
      <c r="BC12" s="80">
        <v>1</v>
      </c>
      <c r="BD12" s="80">
        <v>1</v>
      </c>
      <c r="BE12" s="80">
        <v>1</v>
      </c>
      <c r="BF12" s="80">
        <v>1</v>
      </c>
      <c r="BG12" s="80">
        <v>1</v>
      </c>
      <c r="BH12" s="80">
        <v>1</v>
      </c>
      <c r="BI12" s="80">
        <v>1</v>
      </c>
      <c r="BJ12" s="65" t="e">
        <f t="shared" si="1"/>
        <v>#REF!</v>
      </c>
      <c r="BK12" s="65" t="str">
        <f t="shared" si="3"/>
        <v/>
      </c>
      <c r="BL12" s="60"/>
      <c r="BM12" s="54" t="e">
        <f t="shared" si="4"/>
        <v>#REF!</v>
      </c>
      <c r="BN12" s="61">
        <v>44354.427662037036</v>
      </c>
    </row>
    <row r="13" spans="1:66" ht="45" x14ac:dyDescent="0.25">
      <c r="A13" s="54" t="e">
        <f t="shared" si="2"/>
        <v>#REF!</v>
      </c>
      <c r="B13" s="29" t="s">
        <v>337</v>
      </c>
      <c r="C13" s="30" t="s">
        <v>332</v>
      </c>
      <c r="D13" s="71" t="s">
        <v>2</v>
      </c>
      <c r="E13" s="62" t="s">
        <v>333</v>
      </c>
      <c r="F13" s="62" t="s">
        <v>334</v>
      </c>
      <c r="G13" s="62"/>
      <c r="H13" s="72"/>
      <c r="I13" s="73"/>
      <c r="J13" s="72"/>
      <c r="K13" s="73"/>
      <c r="L13" s="65"/>
      <c r="M13" s="79">
        <v>0.28125</v>
      </c>
      <c r="N13" s="79">
        <v>0.28125</v>
      </c>
      <c r="O13" s="79">
        <v>0.3125</v>
      </c>
      <c r="P13" s="79">
        <v>0.3125</v>
      </c>
      <c r="Q13" s="79">
        <v>0.34375</v>
      </c>
      <c r="R13" s="79">
        <v>0.375</v>
      </c>
      <c r="S13" s="79">
        <v>0.4375</v>
      </c>
      <c r="T13" s="79">
        <v>0.5625</v>
      </c>
      <c r="U13" s="79">
        <v>0.6875</v>
      </c>
      <c r="V13" s="79">
        <v>0.75</v>
      </c>
      <c r="W13" s="79">
        <v>0.75</v>
      </c>
      <c r="X13" s="79">
        <v>0.8125</v>
      </c>
      <c r="Y13" s="79">
        <v>0.84375</v>
      </c>
      <c r="Z13" s="79">
        <v>0.84375</v>
      </c>
      <c r="AA13" s="79">
        <v>0.875</v>
      </c>
      <c r="AB13" s="79">
        <v>0.90625</v>
      </c>
      <c r="AC13" s="79">
        <v>0.9375</v>
      </c>
      <c r="AD13" s="79">
        <v>0.9375</v>
      </c>
      <c r="AE13" s="79">
        <v>0.9375</v>
      </c>
      <c r="AF13" s="79">
        <v>0.9375</v>
      </c>
      <c r="AG13" s="79">
        <v>0.96875</v>
      </c>
      <c r="AH13" s="79">
        <v>0.96875</v>
      </c>
      <c r="AI13" s="79">
        <v>0.96875</v>
      </c>
      <c r="AJ13" s="79">
        <v>0.96875</v>
      </c>
      <c r="AK13" s="65" t="e">
        <f t="shared" si="0"/>
        <v>#REF!</v>
      </c>
      <c r="AL13" s="79">
        <v>0</v>
      </c>
      <c r="AM13" s="79">
        <v>0</v>
      </c>
      <c r="AN13" s="79">
        <v>3.125E-2</v>
      </c>
      <c r="AO13" s="79">
        <v>3.125E-2</v>
      </c>
      <c r="AP13" s="79">
        <v>3.125E-2</v>
      </c>
      <c r="AQ13" s="79">
        <v>3.125E-2</v>
      </c>
      <c r="AR13" s="79">
        <v>3.125E-2</v>
      </c>
      <c r="AS13" s="79">
        <v>3.125E-2</v>
      </c>
      <c r="AT13" s="79">
        <v>3.125E-2</v>
      </c>
      <c r="AU13" s="79">
        <v>3.125E-2</v>
      </c>
      <c r="AV13" s="79">
        <v>3.125E-2</v>
      </c>
      <c r="AW13" s="79">
        <v>3.125E-2</v>
      </c>
      <c r="AX13" s="79">
        <v>3.125E-2</v>
      </c>
      <c r="AY13" s="79">
        <v>3.125E-2</v>
      </c>
      <c r="AZ13" s="79">
        <v>3.125E-2</v>
      </c>
      <c r="BA13" s="79">
        <v>3.125E-2</v>
      </c>
      <c r="BB13" s="79">
        <v>3.125E-2</v>
      </c>
      <c r="BC13" s="79">
        <v>3.125E-2</v>
      </c>
      <c r="BD13" s="79">
        <v>3.125E-2</v>
      </c>
      <c r="BE13" s="79">
        <v>3.125E-2</v>
      </c>
      <c r="BF13" s="79">
        <v>3.125E-2</v>
      </c>
      <c r="BG13" s="79">
        <v>3.125E-2</v>
      </c>
      <c r="BH13" s="79">
        <v>3.125E-2</v>
      </c>
      <c r="BI13" s="79">
        <v>3.125E-2</v>
      </c>
      <c r="BJ13" s="65" t="e">
        <f t="shared" si="1"/>
        <v>#REF!</v>
      </c>
      <c r="BK13" s="65" t="str">
        <f t="shared" si="3"/>
        <v/>
      </c>
      <c r="BL13" s="60"/>
      <c r="BM13" s="54" t="e">
        <f>IF(#REF!=C13,#REF!+1,1)</f>
        <v>#REF!</v>
      </c>
      <c r="BN13" s="61">
        <v>44354.428043981483</v>
      </c>
    </row>
    <row r="14" spans="1:66" ht="45" x14ac:dyDescent="0.25">
      <c r="A14" s="54" t="e">
        <f t="shared" si="2"/>
        <v>#REF!</v>
      </c>
      <c r="B14" s="31" t="s">
        <v>337</v>
      </c>
      <c r="C14" s="32" t="s">
        <v>332</v>
      </c>
      <c r="D14" s="70" t="s">
        <v>3</v>
      </c>
      <c r="E14" s="66" t="s">
        <v>336</v>
      </c>
      <c r="F14" s="66" t="s">
        <v>334</v>
      </c>
      <c r="G14" s="66"/>
      <c r="H14" s="67"/>
      <c r="I14" s="68"/>
      <c r="J14" s="67"/>
      <c r="K14" s="68"/>
      <c r="L14" s="69"/>
      <c r="M14" s="80">
        <v>0.75</v>
      </c>
      <c r="N14" s="80">
        <v>0.75</v>
      </c>
      <c r="O14" s="80">
        <v>0.75</v>
      </c>
      <c r="P14" s="80">
        <v>0.75</v>
      </c>
      <c r="Q14" s="80">
        <v>0.75</v>
      </c>
      <c r="R14" s="80">
        <v>0.75</v>
      </c>
      <c r="S14" s="80">
        <v>0.75</v>
      </c>
      <c r="T14" s="80">
        <v>0.75</v>
      </c>
      <c r="U14" s="80">
        <v>0.75</v>
      </c>
      <c r="V14" s="80">
        <v>0.75</v>
      </c>
      <c r="W14" s="80">
        <v>0.75</v>
      </c>
      <c r="X14" s="80">
        <v>0.75</v>
      </c>
      <c r="Y14" s="80">
        <v>0.75</v>
      </c>
      <c r="Z14" s="80">
        <v>0.75</v>
      </c>
      <c r="AA14" s="80">
        <v>0.75</v>
      </c>
      <c r="AB14" s="80">
        <v>0.75</v>
      </c>
      <c r="AC14" s="80">
        <v>0.75</v>
      </c>
      <c r="AD14" s="80">
        <v>0.75</v>
      </c>
      <c r="AE14" s="80">
        <v>0.75</v>
      </c>
      <c r="AF14" s="80">
        <v>0.75</v>
      </c>
      <c r="AG14" s="80">
        <v>0.75</v>
      </c>
      <c r="AH14" s="80">
        <v>0.75</v>
      </c>
      <c r="AI14" s="80">
        <v>0.75</v>
      </c>
      <c r="AJ14" s="80">
        <v>0.75</v>
      </c>
      <c r="AK14" s="65" t="e">
        <f t="shared" si="0"/>
        <v>#REF!</v>
      </c>
      <c r="AL14" s="80">
        <v>0</v>
      </c>
      <c r="AM14" s="80">
        <v>0</v>
      </c>
      <c r="AN14" s="80">
        <v>0</v>
      </c>
      <c r="AO14" s="80">
        <v>0</v>
      </c>
      <c r="AP14" s="80">
        <v>0</v>
      </c>
      <c r="AQ14" s="80">
        <v>0</v>
      </c>
      <c r="AR14" s="80">
        <v>0</v>
      </c>
      <c r="AS14" s="80">
        <v>0</v>
      </c>
      <c r="AT14" s="80">
        <v>0</v>
      </c>
      <c r="AU14" s="80">
        <v>0</v>
      </c>
      <c r="AV14" s="80">
        <v>0</v>
      </c>
      <c r="AW14" s="80">
        <v>0</v>
      </c>
      <c r="AX14" s="80">
        <v>0</v>
      </c>
      <c r="AY14" s="80">
        <v>0</v>
      </c>
      <c r="AZ14" s="80">
        <v>0</v>
      </c>
      <c r="BA14" s="80">
        <v>0</v>
      </c>
      <c r="BB14" s="80">
        <v>0</v>
      </c>
      <c r="BC14" s="80">
        <v>0</v>
      </c>
      <c r="BD14" s="80">
        <v>0</v>
      </c>
      <c r="BE14" s="80">
        <v>0</v>
      </c>
      <c r="BF14" s="80">
        <v>0</v>
      </c>
      <c r="BG14" s="80">
        <v>0</v>
      </c>
      <c r="BH14" s="80">
        <v>0</v>
      </c>
      <c r="BI14" s="80">
        <v>0</v>
      </c>
      <c r="BJ14" s="65" t="e">
        <f t="shared" si="1"/>
        <v>#REF!</v>
      </c>
      <c r="BK14" s="65" t="str">
        <f t="shared" si="3"/>
        <v/>
      </c>
      <c r="BL14" s="60"/>
      <c r="BM14" s="54" t="e">
        <f t="shared" si="4"/>
        <v>#REF!</v>
      </c>
      <c r="BN14" s="61">
        <v>44354.428055555552</v>
      </c>
    </row>
    <row r="15" spans="1:66" ht="45" x14ac:dyDescent="0.25">
      <c r="A15" s="54" t="e">
        <f t="shared" si="2"/>
        <v>#REF!</v>
      </c>
      <c r="B15" s="29" t="s">
        <v>66</v>
      </c>
      <c r="C15" s="30" t="s">
        <v>332</v>
      </c>
      <c r="D15" s="71" t="s">
        <v>338</v>
      </c>
      <c r="E15" s="62" t="s">
        <v>333</v>
      </c>
      <c r="F15" s="62" t="s">
        <v>334</v>
      </c>
      <c r="G15" s="62" t="s">
        <v>335</v>
      </c>
      <c r="H15" s="63"/>
      <c r="I15" s="64"/>
      <c r="J15" s="63"/>
      <c r="K15" s="64"/>
      <c r="L15" s="65"/>
      <c r="M15" s="79">
        <v>0</v>
      </c>
      <c r="N15" s="79">
        <v>0</v>
      </c>
      <c r="O15" s="79">
        <v>0</v>
      </c>
      <c r="P15" s="79">
        <v>0.45454545454545453</v>
      </c>
      <c r="Q15" s="79">
        <v>0.72727272727272729</v>
      </c>
      <c r="R15" s="79">
        <v>0.72727272727272729</v>
      </c>
      <c r="S15" s="79">
        <v>0.81818181818181823</v>
      </c>
      <c r="T15" s="79">
        <v>0.81818181818181823</v>
      </c>
      <c r="U15" s="79">
        <v>0.81818181818181823</v>
      </c>
      <c r="V15" s="79">
        <v>0.90909090909090906</v>
      </c>
      <c r="W15" s="79">
        <v>0.90909090909090906</v>
      </c>
      <c r="X15" s="79">
        <v>0.90909090909090906</v>
      </c>
      <c r="Y15" s="79">
        <v>1</v>
      </c>
      <c r="Z15" s="79">
        <v>1</v>
      </c>
      <c r="AA15" s="79">
        <v>1</v>
      </c>
      <c r="AB15" s="79">
        <v>1</v>
      </c>
      <c r="AC15" s="79">
        <v>1</v>
      </c>
      <c r="AD15" s="79">
        <v>1</v>
      </c>
      <c r="AE15" s="79">
        <v>1</v>
      </c>
      <c r="AF15" s="79">
        <v>1</v>
      </c>
      <c r="AG15" s="79">
        <v>1</v>
      </c>
      <c r="AH15" s="79">
        <v>1</v>
      </c>
      <c r="AI15" s="79">
        <v>1</v>
      </c>
      <c r="AJ15" s="79">
        <v>1</v>
      </c>
      <c r="AK15" s="65" t="e">
        <f t="shared" si="0"/>
        <v>#REF!</v>
      </c>
      <c r="AL15" s="79">
        <v>0</v>
      </c>
      <c r="AM15" s="79">
        <v>0</v>
      </c>
      <c r="AN15" s="79">
        <v>0</v>
      </c>
      <c r="AO15" s="79">
        <v>0.36363636363636365</v>
      </c>
      <c r="AP15" s="79">
        <v>0.54545454545454541</v>
      </c>
      <c r="AQ15" s="79">
        <v>0.54545454545454541</v>
      </c>
      <c r="AR15" s="79">
        <v>0.54545454545454541</v>
      </c>
      <c r="AS15" s="79">
        <v>0.54545454545454541</v>
      </c>
      <c r="AT15" s="79">
        <v>0.54545454545454541</v>
      </c>
      <c r="AU15" s="79">
        <v>0.54545454545454541</v>
      </c>
      <c r="AV15" s="79">
        <v>0.54545454545454541</v>
      </c>
      <c r="AW15" s="79">
        <v>0.54545454545454541</v>
      </c>
      <c r="AX15" s="79">
        <v>0.54545454545454541</v>
      </c>
      <c r="AY15" s="79">
        <v>0.54545454545454541</v>
      </c>
      <c r="AZ15" s="79">
        <v>0.54545454545454541</v>
      </c>
      <c r="BA15" s="79">
        <v>0.54545454545454541</v>
      </c>
      <c r="BB15" s="79">
        <v>0.54545454545454541</v>
      </c>
      <c r="BC15" s="79">
        <v>0.54545454545454541</v>
      </c>
      <c r="BD15" s="79">
        <v>0.54545454545454541</v>
      </c>
      <c r="BE15" s="79">
        <v>0.54545454545454541</v>
      </c>
      <c r="BF15" s="79">
        <v>0.54545454545454541</v>
      </c>
      <c r="BG15" s="79">
        <v>0.54545454545454541</v>
      </c>
      <c r="BH15" s="79">
        <v>0.54545454545454541</v>
      </c>
      <c r="BI15" s="79">
        <v>0.54545454545454541</v>
      </c>
      <c r="BJ15" s="65" t="e">
        <f t="shared" si="1"/>
        <v>#REF!</v>
      </c>
      <c r="BK15" s="65" t="str">
        <f t="shared" si="3"/>
        <v/>
      </c>
      <c r="BL15" s="60"/>
      <c r="BM15" s="54" t="e">
        <f>IF(#REF!=C15,#REF!+1,1)</f>
        <v>#REF!</v>
      </c>
      <c r="BN15" s="61">
        <v>44354.428449074076</v>
      </c>
    </row>
    <row r="16" spans="1:66" ht="45" x14ac:dyDescent="0.25">
      <c r="A16" s="54" t="e">
        <f t="shared" si="2"/>
        <v>#REF!</v>
      </c>
      <c r="B16" s="31" t="s">
        <v>66</v>
      </c>
      <c r="C16" s="32" t="s">
        <v>332</v>
      </c>
      <c r="D16" s="70" t="s">
        <v>339</v>
      </c>
      <c r="E16" s="66" t="s">
        <v>336</v>
      </c>
      <c r="F16" s="66" t="s">
        <v>334</v>
      </c>
      <c r="G16" s="66" t="s">
        <v>335</v>
      </c>
      <c r="H16" s="67"/>
      <c r="I16" s="68"/>
      <c r="J16" s="67"/>
      <c r="K16" s="68"/>
      <c r="L16" s="69"/>
      <c r="M16" s="80">
        <v>0.75</v>
      </c>
      <c r="N16" s="80">
        <v>0.75</v>
      </c>
      <c r="O16" s="80">
        <v>0.75</v>
      </c>
      <c r="P16" s="80">
        <v>0.75</v>
      </c>
      <c r="Q16" s="80">
        <v>0.75</v>
      </c>
      <c r="R16" s="80">
        <v>0.75</v>
      </c>
      <c r="S16" s="80">
        <v>0.75</v>
      </c>
      <c r="T16" s="80">
        <v>0.75</v>
      </c>
      <c r="U16" s="80">
        <v>0.75</v>
      </c>
      <c r="V16" s="80">
        <v>0.75</v>
      </c>
      <c r="W16" s="80">
        <v>0.75</v>
      </c>
      <c r="X16" s="80">
        <v>0.75</v>
      </c>
      <c r="Y16" s="80">
        <v>0.75</v>
      </c>
      <c r="Z16" s="80">
        <v>0.75</v>
      </c>
      <c r="AA16" s="80">
        <v>0.75</v>
      </c>
      <c r="AB16" s="80">
        <v>0.75</v>
      </c>
      <c r="AC16" s="80">
        <v>0.75</v>
      </c>
      <c r="AD16" s="80">
        <v>0.75</v>
      </c>
      <c r="AE16" s="80">
        <v>0.75</v>
      </c>
      <c r="AF16" s="80">
        <v>0.75</v>
      </c>
      <c r="AG16" s="80">
        <v>0.75</v>
      </c>
      <c r="AH16" s="80">
        <v>0.75</v>
      </c>
      <c r="AI16" s="80">
        <v>0.75</v>
      </c>
      <c r="AJ16" s="80">
        <v>0.75</v>
      </c>
      <c r="AK16" s="65" t="e">
        <f t="shared" si="0"/>
        <v>#REF!</v>
      </c>
      <c r="AL16" s="80">
        <v>0</v>
      </c>
      <c r="AM16" s="80">
        <v>0</v>
      </c>
      <c r="AN16" s="80">
        <v>0</v>
      </c>
      <c r="AO16" s="80">
        <v>1</v>
      </c>
      <c r="AP16" s="80">
        <v>1</v>
      </c>
      <c r="AQ16" s="80">
        <v>1</v>
      </c>
      <c r="AR16" s="80">
        <v>1</v>
      </c>
      <c r="AS16" s="80">
        <v>1</v>
      </c>
      <c r="AT16" s="80">
        <v>1</v>
      </c>
      <c r="AU16" s="80">
        <v>1</v>
      </c>
      <c r="AV16" s="80">
        <v>1</v>
      </c>
      <c r="AW16" s="80">
        <v>1</v>
      </c>
      <c r="AX16" s="80">
        <v>1</v>
      </c>
      <c r="AY16" s="80">
        <v>1</v>
      </c>
      <c r="AZ16" s="80">
        <v>1</v>
      </c>
      <c r="BA16" s="80">
        <v>1</v>
      </c>
      <c r="BB16" s="80">
        <v>1</v>
      </c>
      <c r="BC16" s="80">
        <v>1</v>
      </c>
      <c r="BD16" s="80">
        <v>1</v>
      </c>
      <c r="BE16" s="80">
        <v>1</v>
      </c>
      <c r="BF16" s="80">
        <v>1</v>
      </c>
      <c r="BG16" s="80">
        <v>1</v>
      </c>
      <c r="BH16" s="80">
        <v>1</v>
      </c>
      <c r="BI16" s="80">
        <v>1</v>
      </c>
      <c r="BJ16" s="65" t="e">
        <f t="shared" si="1"/>
        <v>#REF!</v>
      </c>
      <c r="BK16" s="65" t="str">
        <f t="shared" si="3"/>
        <v/>
      </c>
      <c r="BL16" s="60"/>
      <c r="BM16" s="54" t="e">
        <f t="shared" si="4"/>
        <v>#REF!</v>
      </c>
      <c r="BN16" s="61">
        <v>44354.428449074076</v>
      </c>
    </row>
    <row r="17" spans="1:66" ht="45" x14ac:dyDescent="0.25">
      <c r="A17" s="54" t="e">
        <f t="shared" si="2"/>
        <v>#REF!</v>
      </c>
      <c r="B17" s="29" t="s">
        <v>11</v>
      </c>
      <c r="C17" s="30" t="s">
        <v>332</v>
      </c>
      <c r="D17" s="71" t="s">
        <v>2</v>
      </c>
      <c r="E17" s="62" t="s">
        <v>333</v>
      </c>
      <c r="F17" s="62" t="s">
        <v>334</v>
      </c>
      <c r="G17" s="62"/>
      <c r="H17" s="63"/>
      <c r="I17" s="64"/>
      <c r="J17" s="63"/>
      <c r="K17" s="64"/>
      <c r="L17" s="65"/>
      <c r="M17" s="79">
        <v>0</v>
      </c>
      <c r="N17" s="79">
        <v>0</v>
      </c>
      <c r="O17" s="79">
        <v>0</v>
      </c>
      <c r="P17" s="79">
        <v>0</v>
      </c>
      <c r="Q17" s="79">
        <v>0</v>
      </c>
      <c r="R17" s="79">
        <v>0</v>
      </c>
      <c r="S17" s="79">
        <v>0</v>
      </c>
      <c r="T17" s="79">
        <v>0.16666666666666666</v>
      </c>
      <c r="U17" s="79">
        <v>0.16666666666666666</v>
      </c>
      <c r="V17" s="79">
        <v>0.16666666666666666</v>
      </c>
      <c r="W17" s="79">
        <v>0.33333333333333331</v>
      </c>
      <c r="X17" s="79">
        <v>0.33333333333333331</v>
      </c>
      <c r="Y17" s="79">
        <v>0.33333333333333331</v>
      </c>
      <c r="Z17" s="79">
        <v>0.5</v>
      </c>
      <c r="AA17" s="79">
        <v>0.5</v>
      </c>
      <c r="AB17" s="79">
        <v>0.5</v>
      </c>
      <c r="AC17" s="79">
        <v>0.66666666666666663</v>
      </c>
      <c r="AD17" s="79">
        <v>0.66666666666666663</v>
      </c>
      <c r="AE17" s="79">
        <v>0.66666666666666663</v>
      </c>
      <c r="AF17" s="79">
        <v>0.83333333333333337</v>
      </c>
      <c r="AG17" s="79">
        <v>0.83333333333333337</v>
      </c>
      <c r="AH17" s="79">
        <v>0.83333333333333337</v>
      </c>
      <c r="AI17" s="79">
        <v>1</v>
      </c>
      <c r="AJ17" s="79">
        <v>1</v>
      </c>
      <c r="AK17" s="65" t="e">
        <f t="shared" si="0"/>
        <v>#REF!</v>
      </c>
      <c r="AL17" s="79">
        <v>0</v>
      </c>
      <c r="AM17" s="79">
        <v>0</v>
      </c>
      <c r="AN17" s="79">
        <v>0</v>
      </c>
      <c r="AO17" s="79">
        <v>0</v>
      </c>
      <c r="AP17" s="79">
        <v>0</v>
      </c>
      <c r="AQ17" s="79">
        <v>0</v>
      </c>
      <c r="AR17" s="79">
        <v>0</v>
      </c>
      <c r="AS17" s="79">
        <v>0</v>
      </c>
      <c r="AT17" s="79">
        <v>0</v>
      </c>
      <c r="AU17" s="79">
        <v>0</v>
      </c>
      <c r="AV17" s="79">
        <v>0</v>
      </c>
      <c r="AW17" s="79">
        <v>0</v>
      </c>
      <c r="AX17" s="79">
        <v>0</v>
      </c>
      <c r="AY17" s="79">
        <v>0</v>
      </c>
      <c r="AZ17" s="79">
        <v>0</v>
      </c>
      <c r="BA17" s="79">
        <v>0</v>
      </c>
      <c r="BB17" s="79">
        <v>0</v>
      </c>
      <c r="BC17" s="79">
        <v>0</v>
      </c>
      <c r="BD17" s="79">
        <v>0</v>
      </c>
      <c r="BE17" s="79">
        <v>0</v>
      </c>
      <c r="BF17" s="79">
        <v>0</v>
      </c>
      <c r="BG17" s="79">
        <v>0</v>
      </c>
      <c r="BH17" s="79">
        <v>0</v>
      </c>
      <c r="BI17" s="79">
        <v>0</v>
      </c>
      <c r="BJ17" s="65" t="e">
        <f t="shared" si="1"/>
        <v>#REF!</v>
      </c>
      <c r="BK17" s="65" t="str">
        <f t="shared" si="3"/>
        <v/>
      </c>
      <c r="BL17" s="60"/>
      <c r="BM17" s="54" t="e">
        <f>IF(#REF!=C17,#REF!+1,1)</f>
        <v>#REF!</v>
      </c>
      <c r="BN17" s="61">
        <v>44354.428912037038</v>
      </c>
    </row>
    <row r="18" spans="1:66" ht="45" x14ac:dyDescent="0.25">
      <c r="A18" s="54" t="e">
        <f t="shared" si="2"/>
        <v>#REF!</v>
      </c>
      <c r="B18" s="31" t="s">
        <v>11</v>
      </c>
      <c r="C18" s="32" t="s">
        <v>332</v>
      </c>
      <c r="D18" s="70" t="s">
        <v>3</v>
      </c>
      <c r="E18" s="66" t="s">
        <v>336</v>
      </c>
      <c r="F18" s="66" t="s">
        <v>334</v>
      </c>
      <c r="G18" s="66"/>
      <c r="H18" s="67"/>
      <c r="I18" s="68"/>
      <c r="J18" s="67"/>
      <c r="K18" s="68"/>
      <c r="L18" s="69"/>
      <c r="M18" s="80">
        <v>0.75</v>
      </c>
      <c r="N18" s="80">
        <v>0.75</v>
      </c>
      <c r="O18" s="80">
        <v>0.75</v>
      </c>
      <c r="P18" s="80">
        <v>0.75</v>
      </c>
      <c r="Q18" s="80">
        <v>0.75</v>
      </c>
      <c r="R18" s="80">
        <v>0.75</v>
      </c>
      <c r="S18" s="80">
        <v>0.75</v>
      </c>
      <c r="T18" s="80">
        <v>0.75</v>
      </c>
      <c r="U18" s="80">
        <v>0.75</v>
      </c>
      <c r="V18" s="80">
        <v>0.75</v>
      </c>
      <c r="W18" s="80">
        <v>0.75</v>
      </c>
      <c r="X18" s="80">
        <v>0.75</v>
      </c>
      <c r="Y18" s="80">
        <v>0.75</v>
      </c>
      <c r="Z18" s="80">
        <v>0.75</v>
      </c>
      <c r="AA18" s="80">
        <v>0.75</v>
      </c>
      <c r="AB18" s="80">
        <v>0.75</v>
      </c>
      <c r="AC18" s="80">
        <v>0.75</v>
      </c>
      <c r="AD18" s="80">
        <v>0.75</v>
      </c>
      <c r="AE18" s="80">
        <v>0.75</v>
      </c>
      <c r="AF18" s="80">
        <v>0.75</v>
      </c>
      <c r="AG18" s="80">
        <v>0.75</v>
      </c>
      <c r="AH18" s="80">
        <v>0.75</v>
      </c>
      <c r="AI18" s="80">
        <v>0.75</v>
      </c>
      <c r="AJ18" s="80">
        <v>0.75</v>
      </c>
      <c r="AK18" s="65" t="e">
        <f t="shared" si="0"/>
        <v>#REF!</v>
      </c>
      <c r="AL18" s="80">
        <v>0</v>
      </c>
      <c r="AM18" s="80">
        <v>0</v>
      </c>
      <c r="AN18" s="80">
        <v>0</v>
      </c>
      <c r="AO18" s="80">
        <v>0</v>
      </c>
      <c r="AP18" s="80">
        <v>0</v>
      </c>
      <c r="AQ18" s="80">
        <v>0</v>
      </c>
      <c r="AR18" s="80">
        <v>0</v>
      </c>
      <c r="AS18" s="80">
        <v>0</v>
      </c>
      <c r="AT18" s="80">
        <v>0</v>
      </c>
      <c r="AU18" s="80">
        <v>0</v>
      </c>
      <c r="AV18" s="80">
        <v>0</v>
      </c>
      <c r="AW18" s="80">
        <v>0</v>
      </c>
      <c r="AX18" s="80">
        <v>0</v>
      </c>
      <c r="AY18" s="80">
        <v>0</v>
      </c>
      <c r="AZ18" s="80">
        <v>0</v>
      </c>
      <c r="BA18" s="80">
        <v>0</v>
      </c>
      <c r="BB18" s="80">
        <v>0</v>
      </c>
      <c r="BC18" s="80">
        <v>0</v>
      </c>
      <c r="BD18" s="80">
        <v>0</v>
      </c>
      <c r="BE18" s="80">
        <v>0</v>
      </c>
      <c r="BF18" s="80">
        <v>0</v>
      </c>
      <c r="BG18" s="80">
        <v>0</v>
      </c>
      <c r="BH18" s="80">
        <v>0</v>
      </c>
      <c r="BI18" s="80">
        <v>0</v>
      </c>
      <c r="BJ18" s="65" t="e">
        <f t="shared" si="1"/>
        <v>#REF!</v>
      </c>
      <c r="BK18" s="65" t="str">
        <f t="shared" si="3"/>
        <v/>
      </c>
      <c r="BL18" s="60"/>
      <c r="BM18" s="54" t="e">
        <f t="shared" si="4"/>
        <v>#REF!</v>
      </c>
      <c r="BN18" s="61">
        <v>44354.428912037038</v>
      </c>
    </row>
    <row r="19" spans="1:66" ht="45" x14ac:dyDescent="0.25">
      <c r="A19" s="54" t="e">
        <f t="shared" si="2"/>
        <v>#REF!</v>
      </c>
      <c r="B19" s="29" t="s">
        <v>13</v>
      </c>
      <c r="C19" s="30" t="s">
        <v>332</v>
      </c>
      <c r="D19" s="71" t="s">
        <v>2</v>
      </c>
      <c r="E19" s="62" t="s">
        <v>333</v>
      </c>
      <c r="F19" s="62" t="s">
        <v>334</v>
      </c>
      <c r="G19" s="62" t="s">
        <v>335</v>
      </c>
      <c r="H19" s="63"/>
      <c r="I19" s="64"/>
      <c r="J19" s="63"/>
      <c r="K19" s="64"/>
      <c r="L19" s="65"/>
      <c r="M19" s="79">
        <v>0.21052631578947367</v>
      </c>
      <c r="N19" s="79">
        <v>0.23684210526315788</v>
      </c>
      <c r="O19" s="79">
        <v>0.34210526315789475</v>
      </c>
      <c r="P19" s="79">
        <v>0.34210526315789475</v>
      </c>
      <c r="Q19" s="79">
        <v>0.5</v>
      </c>
      <c r="R19" s="79">
        <v>0.57894736842105265</v>
      </c>
      <c r="S19" s="79">
        <v>0.63157894736842102</v>
      </c>
      <c r="T19" s="79">
        <v>0.73684210526315785</v>
      </c>
      <c r="U19" s="79">
        <v>0.81578947368421051</v>
      </c>
      <c r="V19" s="79">
        <v>0.89473684210526316</v>
      </c>
      <c r="W19" s="79">
        <v>0.92105263157894735</v>
      </c>
      <c r="X19" s="79">
        <v>0.94736842105263153</v>
      </c>
      <c r="Y19" s="79">
        <v>1</v>
      </c>
      <c r="Z19" s="79">
        <v>1</v>
      </c>
      <c r="AA19" s="79">
        <v>1</v>
      </c>
      <c r="AB19" s="79">
        <v>1</v>
      </c>
      <c r="AC19" s="79">
        <v>1</v>
      </c>
      <c r="AD19" s="79">
        <v>1</v>
      </c>
      <c r="AE19" s="79">
        <v>1</v>
      </c>
      <c r="AF19" s="79">
        <v>1</v>
      </c>
      <c r="AG19" s="79">
        <v>1</v>
      </c>
      <c r="AH19" s="79">
        <v>1</v>
      </c>
      <c r="AI19" s="79">
        <v>1</v>
      </c>
      <c r="AJ19" s="79">
        <v>1</v>
      </c>
      <c r="AK19" s="65" t="e">
        <f t="shared" si="0"/>
        <v>#REF!</v>
      </c>
      <c r="AL19" s="79">
        <v>0</v>
      </c>
      <c r="AM19" s="79">
        <v>2.6315789473684209E-2</v>
      </c>
      <c r="AN19" s="79">
        <v>7.8947368421052627E-2</v>
      </c>
      <c r="AO19" s="79">
        <v>0.10526315789473684</v>
      </c>
      <c r="AP19" s="79">
        <v>0.18421052631578946</v>
      </c>
      <c r="AQ19" s="79">
        <v>0.18421052631578946</v>
      </c>
      <c r="AR19" s="79">
        <v>0.18421052631578946</v>
      </c>
      <c r="AS19" s="79">
        <v>0.18421052631578946</v>
      </c>
      <c r="AT19" s="79">
        <v>0.18421052631578946</v>
      </c>
      <c r="AU19" s="79">
        <v>0.18421052631578946</v>
      </c>
      <c r="AV19" s="79">
        <v>0.18421052631578946</v>
      </c>
      <c r="AW19" s="79">
        <v>0.18421052631578946</v>
      </c>
      <c r="AX19" s="79">
        <v>0.18421052631578946</v>
      </c>
      <c r="AY19" s="79">
        <v>0.18421052631578946</v>
      </c>
      <c r="AZ19" s="79">
        <v>0.18421052631578946</v>
      </c>
      <c r="BA19" s="79">
        <v>0.18421052631578946</v>
      </c>
      <c r="BB19" s="79">
        <v>0.18421052631578946</v>
      </c>
      <c r="BC19" s="79">
        <v>0.18421052631578946</v>
      </c>
      <c r="BD19" s="79">
        <v>0.18421052631578946</v>
      </c>
      <c r="BE19" s="79">
        <v>0.18421052631578946</v>
      </c>
      <c r="BF19" s="79">
        <v>0.18421052631578946</v>
      </c>
      <c r="BG19" s="79">
        <v>0.18421052631578946</v>
      </c>
      <c r="BH19" s="79">
        <v>0.18421052631578946</v>
      </c>
      <c r="BI19" s="79">
        <v>0.18421052631578946</v>
      </c>
      <c r="BJ19" s="65" t="e">
        <f t="shared" si="1"/>
        <v>#REF!</v>
      </c>
      <c r="BK19" s="65" t="str">
        <f t="shared" si="3"/>
        <v/>
      </c>
      <c r="BL19" s="60"/>
      <c r="BM19" s="54" t="e">
        <f>IF(#REF!=C19,#REF!+1,1)</f>
        <v>#REF!</v>
      </c>
      <c r="BN19" s="61">
        <v>44354.429571759261</v>
      </c>
    </row>
    <row r="20" spans="1:66" ht="45" x14ac:dyDescent="0.25">
      <c r="A20" s="54" t="e">
        <f t="shared" si="2"/>
        <v>#REF!</v>
      </c>
      <c r="B20" s="31" t="s">
        <v>13</v>
      </c>
      <c r="C20" s="32" t="s">
        <v>332</v>
      </c>
      <c r="D20" s="70" t="s">
        <v>3</v>
      </c>
      <c r="E20" s="66" t="s">
        <v>336</v>
      </c>
      <c r="F20" s="66" t="s">
        <v>334</v>
      </c>
      <c r="G20" s="66" t="s">
        <v>335</v>
      </c>
      <c r="H20" s="67"/>
      <c r="I20" s="68"/>
      <c r="J20" s="67"/>
      <c r="K20" s="68"/>
      <c r="L20" s="69"/>
      <c r="M20" s="80">
        <v>0.75</v>
      </c>
      <c r="N20" s="80">
        <v>0.75</v>
      </c>
      <c r="O20" s="80">
        <v>0.75</v>
      </c>
      <c r="P20" s="80">
        <v>0.75</v>
      </c>
      <c r="Q20" s="80">
        <v>0.75</v>
      </c>
      <c r="R20" s="80">
        <v>0.75</v>
      </c>
      <c r="S20" s="80">
        <v>0.75</v>
      </c>
      <c r="T20" s="80">
        <v>0.75</v>
      </c>
      <c r="U20" s="80">
        <v>0.75</v>
      </c>
      <c r="V20" s="80">
        <v>0.75</v>
      </c>
      <c r="W20" s="80">
        <v>0.75</v>
      </c>
      <c r="X20" s="80">
        <v>0.75</v>
      </c>
      <c r="Y20" s="80">
        <v>0.75</v>
      </c>
      <c r="Z20" s="80">
        <v>0.75</v>
      </c>
      <c r="AA20" s="80">
        <v>0.75</v>
      </c>
      <c r="AB20" s="80">
        <v>0.75</v>
      </c>
      <c r="AC20" s="80">
        <v>0.75</v>
      </c>
      <c r="AD20" s="80">
        <v>0.75</v>
      </c>
      <c r="AE20" s="80">
        <v>0.75</v>
      </c>
      <c r="AF20" s="80">
        <v>0.75</v>
      </c>
      <c r="AG20" s="80">
        <v>0.75</v>
      </c>
      <c r="AH20" s="80">
        <v>0.75</v>
      </c>
      <c r="AI20" s="80">
        <v>0.75</v>
      </c>
      <c r="AJ20" s="80">
        <v>0.75</v>
      </c>
      <c r="AK20" s="65" t="e">
        <f t="shared" si="0"/>
        <v>#REF!</v>
      </c>
      <c r="AL20" s="80">
        <v>0</v>
      </c>
      <c r="AM20" s="80">
        <v>0</v>
      </c>
      <c r="AN20" s="80">
        <v>0.33333333333333331</v>
      </c>
      <c r="AO20" s="80">
        <v>0.25</v>
      </c>
      <c r="AP20" s="80">
        <v>0.5714285714285714</v>
      </c>
      <c r="AQ20" s="80">
        <v>0.5714285714285714</v>
      </c>
      <c r="AR20" s="80">
        <v>0.5714285714285714</v>
      </c>
      <c r="AS20" s="80">
        <v>0.5714285714285714</v>
      </c>
      <c r="AT20" s="80">
        <v>0.5714285714285714</v>
      </c>
      <c r="AU20" s="80">
        <v>0.5714285714285714</v>
      </c>
      <c r="AV20" s="80">
        <v>0.5714285714285714</v>
      </c>
      <c r="AW20" s="80">
        <v>0.5714285714285714</v>
      </c>
      <c r="AX20" s="80">
        <v>0.5714285714285714</v>
      </c>
      <c r="AY20" s="80">
        <v>0.5714285714285714</v>
      </c>
      <c r="AZ20" s="80">
        <v>0.5714285714285714</v>
      </c>
      <c r="BA20" s="80">
        <v>0.5714285714285714</v>
      </c>
      <c r="BB20" s="80">
        <v>0.5714285714285714</v>
      </c>
      <c r="BC20" s="80">
        <v>0.5714285714285714</v>
      </c>
      <c r="BD20" s="80">
        <v>0.5714285714285714</v>
      </c>
      <c r="BE20" s="80">
        <v>0.5714285714285714</v>
      </c>
      <c r="BF20" s="80">
        <v>0.5714285714285714</v>
      </c>
      <c r="BG20" s="80">
        <v>0.5714285714285714</v>
      </c>
      <c r="BH20" s="80">
        <v>0.5714285714285714</v>
      </c>
      <c r="BI20" s="80">
        <v>0.5714285714285714</v>
      </c>
      <c r="BJ20" s="65" t="e">
        <f t="shared" si="1"/>
        <v>#REF!</v>
      </c>
      <c r="BK20" s="65" t="str">
        <f t="shared" si="3"/>
        <v/>
      </c>
      <c r="BL20" s="60"/>
      <c r="BM20" s="54" t="e">
        <f t="shared" si="4"/>
        <v>#REF!</v>
      </c>
      <c r="BN20" s="61">
        <v>44354.429571759261</v>
      </c>
    </row>
    <row r="21" spans="1:66" ht="30" x14ac:dyDescent="0.25">
      <c r="A21" s="54" t="e">
        <f t="shared" si="2"/>
        <v>#REF!</v>
      </c>
      <c r="B21" s="29" t="s">
        <v>14</v>
      </c>
      <c r="C21" s="30" t="s">
        <v>332</v>
      </c>
      <c r="D21" s="71" t="s">
        <v>338</v>
      </c>
      <c r="E21" s="75"/>
      <c r="F21" s="62" t="s">
        <v>334</v>
      </c>
      <c r="G21" s="62" t="s">
        <v>335</v>
      </c>
      <c r="H21" s="72"/>
      <c r="I21" s="73"/>
      <c r="J21" s="72"/>
      <c r="K21" s="73"/>
      <c r="L21" s="65"/>
      <c r="M21" s="79">
        <v>0</v>
      </c>
      <c r="N21" s="79">
        <v>0</v>
      </c>
      <c r="O21" s="79">
        <v>0</v>
      </c>
      <c r="P21" s="79">
        <v>0</v>
      </c>
      <c r="Q21" s="79">
        <v>0</v>
      </c>
      <c r="R21" s="79">
        <v>0.38461538461538464</v>
      </c>
      <c r="S21" s="79">
        <v>0.53846153846153844</v>
      </c>
      <c r="T21" s="79">
        <v>0.69230769230769229</v>
      </c>
      <c r="U21" s="79">
        <v>0.76923076923076927</v>
      </c>
      <c r="V21" s="79">
        <v>0.76923076923076927</v>
      </c>
      <c r="W21" s="79">
        <v>0.80769230769230771</v>
      </c>
      <c r="X21" s="79">
        <v>0.88461538461538458</v>
      </c>
      <c r="Y21" s="79">
        <v>0.88461538461538458</v>
      </c>
      <c r="Z21" s="79">
        <v>0.88461538461538458</v>
      </c>
      <c r="AA21" s="79">
        <v>0.96153846153846156</v>
      </c>
      <c r="AB21" s="79">
        <v>0.96153846153846156</v>
      </c>
      <c r="AC21" s="79">
        <v>1</v>
      </c>
      <c r="AD21" s="79">
        <v>1</v>
      </c>
      <c r="AE21" s="79">
        <v>1</v>
      </c>
      <c r="AF21" s="79">
        <v>1</v>
      </c>
      <c r="AG21" s="79">
        <v>1</v>
      </c>
      <c r="AH21" s="79">
        <v>1</v>
      </c>
      <c r="AI21" s="79">
        <v>1</v>
      </c>
      <c r="AJ21" s="79">
        <v>1</v>
      </c>
      <c r="AK21" s="65" t="e">
        <f t="shared" si="0"/>
        <v>#REF!</v>
      </c>
      <c r="AL21" s="79">
        <v>0</v>
      </c>
      <c r="AM21" s="79">
        <v>0</v>
      </c>
      <c r="AN21" s="79">
        <v>0</v>
      </c>
      <c r="AO21" s="79">
        <v>0</v>
      </c>
      <c r="AP21" s="79">
        <v>0</v>
      </c>
      <c r="AQ21" s="79">
        <v>0</v>
      </c>
      <c r="AR21" s="79">
        <v>0</v>
      </c>
      <c r="AS21" s="79">
        <v>0</v>
      </c>
      <c r="AT21" s="79">
        <v>0</v>
      </c>
      <c r="AU21" s="79">
        <v>0</v>
      </c>
      <c r="AV21" s="79">
        <v>0</v>
      </c>
      <c r="AW21" s="79">
        <v>0</v>
      </c>
      <c r="AX21" s="79">
        <v>0</v>
      </c>
      <c r="AY21" s="79">
        <v>0</v>
      </c>
      <c r="AZ21" s="79">
        <v>0</v>
      </c>
      <c r="BA21" s="79">
        <v>0</v>
      </c>
      <c r="BB21" s="79">
        <v>0</v>
      </c>
      <c r="BC21" s="79">
        <v>0</v>
      </c>
      <c r="BD21" s="79">
        <v>0</v>
      </c>
      <c r="BE21" s="79">
        <v>0</v>
      </c>
      <c r="BF21" s="79">
        <v>0</v>
      </c>
      <c r="BG21" s="79">
        <v>0</v>
      </c>
      <c r="BH21" s="79">
        <v>0</v>
      </c>
      <c r="BI21" s="79">
        <v>0</v>
      </c>
      <c r="BJ21" s="65" t="e">
        <f t="shared" si="1"/>
        <v>#REF!</v>
      </c>
      <c r="BK21" s="65" t="str">
        <f t="shared" si="3"/>
        <v/>
      </c>
      <c r="BL21" s="60"/>
      <c r="BM21" s="54" t="e">
        <f>IF(#REF!=C21,#REF!+1,1)</f>
        <v>#REF!</v>
      </c>
      <c r="BN21" s="61">
        <v>44354.431006944447</v>
      </c>
    </row>
    <row r="22" spans="1:66" ht="45" x14ac:dyDescent="0.25">
      <c r="A22" s="54" t="e">
        <f t="shared" si="2"/>
        <v>#REF!</v>
      </c>
      <c r="B22" s="31" t="s">
        <v>14</v>
      </c>
      <c r="C22" s="32" t="s">
        <v>332</v>
      </c>
      <c r="D22" s="70" t="s">
        <v>339</v>
      </c>
      <c r="E22" s="66" t="s">
        <v>336</v>
      </c>
      <c r="F22" s="66" t="s">
        <v>334</v>
      </c>
      <c r="G22" s="66" t="s">
        <v>335</v>
      </c>
      <c r="H22" s="67"/>
      <c r="I22" s="68"/>
      <c r="J22" s="67"/>
      <c r="K22" s="68"/>
      <c r="L22" s="69"/>
      <c r="M22" s="80">
        <v>0.75</v>
      </c>
      <c r="N22" s="80">
        <v>0.75</v>
      </c>
      <c r="O22" s="80">
        <v>0.75</v>
      </c>
      <c r="P22" s="80">
        <v>0.75</v>
      </c>
      <c r="Q22" s="80">
        <v>0.75</v>
      </c>
      <c r="R22" s="80">
        <v>0.75</v>
      </c>
      <c r="S22" s="80">
        <v>0.75</v>
      </c>
      <c r="T22" s="80">
        <v>0.75</v>
      </c>
      <c r="U22" s="80">
        <v>0.75</v>
      </c>
      <c r="V22" s="80">
        <v>0.75</v>
      </c>
      <c r="W22" s="80">
        <v>0.75</v>
      </c>
      <c r="X22" s="80">
        <v>0.75</v>
      </c>
      <c r="Y22" s="80">
        <v>0.75</v>
      </c>
      <c r="Z22" s="80">
        <v>0.75</v>
      </c>
      <c r="AA22" s="80">
        <v>0.75</v>
      </c>
      <c r="AB22" s="80">
        <v>0.75</v>
      </c>
      <c r="AC22" s="80">
        <v>0.75</v>
      </c>
      <c r="AD22" s="80">
        <v>0.75</v>
      </c>
      <c r="AE22" s="80">
        <v>0.75</v>
      </c>
      <c r="AF22" s="80">
        <v>0.75</v>
      </c>
      <c r="AG22" s="80">
        <v>0.75</v>
      </c>
      <c r="AH22" s="80">
        <v>0.75</v>
      </c>
      <c r="AI22" s="80">
        <v>0.75</v>
      </c>
      <c r="AJ22" s="80">
        <v>0.75</v>
      </c>
      <c r="AK22" s="65" t="e">
        <f t="shared" si="0"/>
        <v>#REF!</v>
      </c>
      <c r="AL22" s="80">
        <v>0</v>
      </c>
      <c r="AM22" s="80">
        <v>0</v>
      </c>
      <c r="AN22" s="80">
        <v>0</v>
      </c>
      <c r="AO22" s="80">
        <v>0</v>
      </c>
      <c r="AP22" s="80">
        <v>0</v>
      </c>
      <c r="AQ22" s="80">
        <v>0</v>
      </c>
      <c r="AR22" s="80">
        <v>0</v>
      </c>
      <c r="AS22" s="80">
        <v>0</v>
      </c>
      <c r="AT22" s="80">
        <v>0</v>
      </c>
      <c r="AU22" s="80">
        <v>0</v>
      </c>
      <c r="AV22" s="80">
        <v>0</v>
      </c>
      <c r="AW22" s="80">
        <v>0</v>
      </c>
      <c r="AX22" s="80">
        <v>0</v>
      </c>
      <c r="AY22" s="80">
        <v>0</v>
      </c>
      <c r="AZ22" s="80">
        <v>0</v>
      </c>
      <c r="BA22" s="80">
        <v>0</v>
      </c>
      <c r="BB22" s="80">
        <v>0</v>
      </c>
      <c r="BC22" s="80">
        <v>0</v>
      </c>
      <c r="BD22" s="80">
        <v>0</v>
      </c>
      <c r="BE22" s="80">
        <v>0</v>
      </c>
      <c r="BF22" s="80">
        <v>0</v>
      </c>
      <c r="BG22" s="80">
        <v>0</v>
      </c>
      <c r="BH22" s="80">
        <v>0</v>
      </c>
      <c r="BI22" s="80">
        <v>0</v>
      </c>
      <c r="BJ22" s="65" t="e">
        <f t="shared" si="1"/>
        <v>#REF!</v>
      </c>
      <c r="BK22" s="65" t="str">
        <f t="shared" si="3"/>
        <v/>
      </c>
      <c r="BL22" s="60"/>
      <c r="BM22" s="54" t="e">
        <f t="shared" si="4"/>
        <v>#REF!</v>
      </c>
      <c r="BN22" s="61">
        <v>44354.431006944447</v>
      </c>
    </row>
    <row r="23" spans="1:66" ht="45" x14ac:dyDescent="0.25">
      <c r="A23" s="54" t="e">
        <f t="shared" si="2"/>
        <v>#REF!</v>
      </c>
      <c r="B23" s="31" t="s">
        <v>89</v>
      </c>
      <c r="C23" s="32" t="s">
        <v>332</v>
      </c>
      <c r="D23" s="70" t="s">
        <v>338</v>
      </c>
      <c r="E23" s="76" t="s">
        <v>333</v>
      </c>
      <c r="F23" s="66" t="s">
        <v>334</v>
      </c>
      <c r="G23" s="66"/>
      <c r="H23" s="58"/>
      <c r="I23" s="59"/>
      <c r="J23" s="58"/>
      <c r="K23" s="59"/>
      <c r="L23" s="69"/>
      <c r="M23" s="80">
        <v>0</v>
      </c>
      <c r="N23" s="80">
        <v>0</v>
      </c>
      <c r="O23" s="80">
        <v>0</v>
      </c>
      <c r="P23" s="80">
        <v>0</v>
      </c>
      <c r="Q23" s="80">
        <v>0.16666666666666666</v>
      </c>
      <c r="R23" s="80">
        <v>0.16666666666666666</v>
      </c>
      <c r="S23" s="80">
        <v>0.27777777777777779</v>
      </c>
      <c r="T23" s="80">
        <v>0.44444444444444442</v>
      </c>
      <c r="U23" s="80">
        <v>0.61111111111111116</v>
      </c>
      <c r="V23" s="80">
        <v>0.72222222222222221</v>
      </c>
      <c r="W23" s="80">
        <v>0.83333333333333337</v>
      </c>
      <c r="X23" s="80">
        <v>0.83333333333333337</v>
      </c>
      <c r="Y23" s="80">
        <v>0.88888888888888884</v>
      </c>
      <c r="Z23" s="80">
        <v>0.88888888888888884</v>
      </c>
      <c r="AA23" s="80">
        <v>1</v>
      </c>
      <c r="AB23" s="80">
        <v>1</v>
      </c>
      <c r="AC23" s="80">
        <v>1</v>
      </c>
      <c r="AD23" s="80">
        <v>1</v>
      </c>
      <c r="AE23" s="80">
        <v>1</v>
      </c>
      <c r="AF23" s="80">
        <v>1</v>
      </c>
      <c r="AG23" s="80">
        <v>1</v>
      </c>
      <c r="AH23" s="80">
        <v>1</v>
      </c>
      <c r="AI23" s="80">
        <v>1</v>
      </c>
      <c r="AJ23" s="80">
        <v>1</v>
      </c>
      <c r="AK23" s="65" t="e">
        <f t="shared" si="0"/>
        <v>#REF!</v>
      </c>
      <c r="AL23" s="80">
        <v>0</v>
      </c>
      <c r="AM23" s="80">
        <v>0</v>
      </c>
      <c r="AN23" s="80">
        <v>0</v>
      </c>
      <c r="AO23" s="80">
        <v>0</v>
      </c>
      <c r="AP23" s="80">
        <v>0</v>
      </c>
      <c r="AQ23" s="80">
        <v>0</v>
      </c>
      <c r="AR23" s="80">
        <v>0</v>
      </c>
      <c r="AS23" s="80">
        <v>0</v>
      </c>
      <c r="AT23" s="80">
        <v>0</v>
      </c>
      <c r="AU23" s="80">
        <v>0</v>
      </c>
      <c r="AV23" s="80">
        <v>0</v>
      </c>
      <c r="AW23" s="80">
        <v>0</v>
      </c>
      <c r="AX23" s="80">
        <v>0</v>
      </c>
      <c r="AY23" s="80">
        <v>0</v>
      </c>
      <c r="AZ23" s="80">
        <v>0</v>
      </c>
      <c r="BA23" s="80">
        <v>0</v>
      </c>
      <c r="BB23" s="80">
        <v>0</v>
      </c>
      <c r="BC23" s="80">
        <v>0</v>
      </c>
      <c r="BD23" s="80">
        <v>0</v>
      </c>
      <c r="BE23" s="80">
        <v>0</v>
      </c>
      <c r="BF23" s="80">
        <v>0</v>
      </c>
      <c r="BG23" s="80">
        <v>0</v>
      </c>
      <c r="BH23" s="80">
        <v>0</v>
      </c>
      <c r="BI23" s="80">
        <v>0</v>
      </c>
      <c r="BJ23" s="65" t="e">
        <f t="shared" si="1"/>
        <v>#REF!</v>
      </c>
      <c r="BK23" s="65" t="str">
        <f t="shared" si="3"/>
        <v/>
      </c>
      <c r="BL23" s="60"/>
      <c r="BM23" s="54" t="e">
        <f>IF(#REF!=C23,#REF!+1,1)</f>
        <v>#REF!</v>
      </c>
      <c r="BN23" s="61">
        <v>44354.431238425925</v>
      </c>
    </row>
    <row r="24" spans="1:66" ht="45" x14ac:dyDescent="0.25">
      <c r="A24" s="54" t="e">
        <f t="shared" si="2"/>
        <v>#REF!</v>
      </c>
      <c r="B24" s="29" t="s">
        <v>89</v>
      </c>
      <c r="C24" s="30" t="s">
        <v>332</v>
      </c>
      <c r="D24" s="71" t="s">
        <v>339</v>
      </c>
      <c r="E24" s="62" t="s">
        <v>336</v>
      </c>
      <c r="F24" s="62" t="s">
        <v>334</v>
      </c>
      <c r="G24" s="62"/>
      <c r="H24" s="63"/>
      <c r="I24" s="64"/>
      <c r="J24" s="63"/>
      <c r="K24" s="64"/>
      <c r="L24" s="65"/>
      <c r="M24" s="79">
        <v>0.75</v>
      </c>
      <c r="N24" s="79">
        <v>0.75</v>
      </c>
      <c r="O24" s="79">
        <v>0.75</v>
      </c>
      <c r="P24" s="79">
        <v>0.75</v>
      </c>
      <c r="Q24" s="79">
        <v>0.75</v>
      </c>
      <c r="R24" s="79">
        <v>0.75</v>
      </c>
      <c r="S24" s="79">
        <v>0.75</v>
      </c>
      <c r="T24" s="79">
        <v>0.75</v>
      </c>
      <c r="U24" s="79">
        <v>0.75</v>
      </c>
      <c r="V24" s="79">
        <v>0.75</v>
      </c>
      <c r="W24" s="79">
        <v>0.75</v>
      </c>
      <c r="X24" s="79">
        <v>0.75</v>
      </c>
      <c r="Y24" s="79">
        <v>0.75</v>
      </c>
      <c r="Z24" s="79">
        <v>0.75</v>
      </c>
      <c r="AA24" s="79">
        <v>0.75</v>
      </c>
      <c r="AB24" s="79">
        <v>0.75</v>
      </c>
      <c r="AC24" s="79">
        <v>0.75</v>
      </c>
      <c r="AD24" s="79">
        <v>0.75</v>
      </c>
      <c r="AE24" s="79">
        <v>0.75</v>
      </c>
      <c r="AF24" s="79">
        <v>0.75</v>
      </c>
      <c r="AG24" s="79">
        <v>0.75</v>
      </c>
      <c r="AH24" s="79">
        <v>0.75</v>
      </c>
      <c r="AI24" s="79">
        <v>0.75</v>
      </c>
      <c r="AJ24" s="79">
        <v>0.75</v>
      </c>
      <c r="AK24" s="65" t="e">
        <f t="shared" si="0"/>
        <v>#REF!</v>
      </c>
      <c r="AL24" s="79">
        <v>0</v>
      </c>
      <c r="AM24" s="79">
        <v>0</v>
      </c>
      <c r="AN24" s="79">
        <v>0</v>
      </c>
      <c r="AO24" s="79">
        <v>0</v>
      </c>
      <c r="AP24" s="79">
        <v>0</v>
      </c>
      <c r="AQ24" s="79">
        <v>0</v>
      </c>
      <c r="AR24" s="79">
        <v>0</v>
      </c>
      <c r="AS24" s="79">
        <v>0</v>
      </c>
      <c r="AT24" s="79">
        <v>0</v>
      </c>
      <c r="AU24" s="79">
        <v>0</v>
      </c>
      <c r="AV24" s="79">
        <v>0</v>
      </c>
      <c r="AW24" s="79">
        <v>0</v>
      </c>
      <c r="AX24" s="79">
        <v>0</v>
      </c>
      <c r="AY24" s="79">
        <v>0</v>
      </c>
      <c r="AZ24" s="79">
        <v>0</v>
      </c>
      <c r="BA24" s="79">
        <v>0</v>
      </c>
      <c r="BB24" s="79">
        <v>0</v>
      </c>
      <c r="BC24" s="79">
        <v>0</v>
      </c>
      <c r="BD24" s="79">
        <v>0</v>
      </c>
      <c r="BE24" s="79">
        <v>0</v>
      </c>
      <c r="BF24" s="79">
        <v>0</v>
      </c>
      <c r="BG24" s="79">
        <v>0</v>
      </c>
      <c r="BH24" s="79">
        <v>0</v>
      </c>
      <c r="BI24" s="79">
        <v>0</v>
      </c>
      <c r="BJ24" s="65" t="e">
        <f t="shared" si="1"/>
        <v>#REF!</v>
      </c>
      <c r="BK24" s="65" t="str">
        <f t="shared" si="3"/>
        <v/>
      </c>
      <c r="BL24" s="60"/>
      <c r="BM24" s="54" t="e">
        <f t="shared" si="4"/>
        <v>#REF!</v>
      </c>
      <c r="BN24" s="61">
        <v>44354.431238425925</v>
      </c>
    </row>
    <row r="25" spans="1:66" ht="45" x14ac:dyDescent="0.25">
      <c r="A25" s="54" t="e">
        <f t="shared" ref="A25:A34" si="5">B25&amp;UPPER(C25)&amp;BM25</f>
        <v>#REF!</v>
      </c>
      <c r="B25" s="31" t="s">
        <v>16</v>
      </c>
      <c r="C25" s="32" t="s">
        <v>332</v>
      </c>
      <c r="D25" s="70" t="s">
        <v>338</v>
      </c>
      <c r="E25" s="66" t="s">
        <v>333</v>
      </c>
      <c r="F25" s="66" t="s">
        <v>334</v>
      </c>
      <c r="G25" s="66"/>
      <c r="H25" s="67"/>
      <c r="I25" s="68"/>
      <c r="J25" s="67"/>
      <c r="K25" s="68"/>
      <c r="L25" s="69"/>
      <c r="M25" s="80">
        <v>1</v>
      </c>
      <c r="N25" s="80">
        <v>1</v>
      </c>
      <c r="O25" s="80">
        <v>1</v>
      </c>
      <c r="P25" s="80">
        <v>1</v>
      </c>
      <c r="Q25" s="80">
        <v>1</v>
      </c>
      <c r="R25" s="80">
        <v>1</v>
      </c>
      <c r="S25" s="80">
        <v>1</v>
      </c>
      <c r="T25" s="80">
        <v>1</v>
      </c>
      <c r="U25" s="80">
        <v>1</v>
      </c>
      <c r="V25" s="80">
        <v>1</v>
      </c>
      <c r="W25" s="80">
        <v>1</v>
      </c>
      <c r="X25" s="80">
        <v>1</v>
      </c>
      <c r="Y25" s="80">
        <v>1</v>
      </c>
      <c r="Z25" s="80">
        <v>1</v>
      </c>
      <c r="AA25" s="80">
        <v>1</v>
      </c>
      <c r="AB25" s="80">
        <v>1</v>
      </c>
      <c r="AC25" s="80">
        <v>1</v>
      </c>
      <c r="AD25" s="80">
        <v>1</v>
      </c>
      <c r="AE25" s="80">
        <v>1</v>
      </c>
      <c r="AF25" s="80">
        <v>1</v>
      </c>
      <c r="AG25" s="80">
        <v>1</v>
      </c>
      <c r="AH25" s="80">
        <v>1</v>
      </c>
      <c r="AI25" s="80">
        <v>1</v>
      </c>
      <c r="AJ25" s="80">
        <v>1</v>
      </c>
      <c r="AK25" s="80">
        <v>1</v>
      </c>
      <c r="AL25" s="80">
        <v>1</v>
      </c>
      <c r="AM25" s="80">
        <v>1</v>
      </c>
      <c r="AN25" s="80">
        <v>1</v>
      </c>
      <c r="AO25" s="80">
        <v>1</v>
      </c>
      <c r="AP25" s="80">
        <v>1</v>
      </c>
      <c r="AQ25" s="80">
        <v>1</v>
      </c>
      <c r="AR25" s="80">
        <v>1</v>
      </c>
      <c r="AS25" s="80">
        <v>1</v>
      </c>
      <c r="AT25" s="80">
        <v>1</v>
      </c>
      <c r="AU25" s="80">
        <v>1</v>
      </c>
      <c r="AV25" s="80">
        <v>1</v>
      </c>
      <c r="AW25" s="80">
        <v>1</v>
      </c>
      <c r="AX25" s="80">
        <v>1</v>
      </c>
      <c r="AY25" s="80">
        <v>1</v>
      </c>
      <c r="AZ25" s="80">
        <v>1</v>
      </c>
      <c r="BA25" s="80">
        <v>1</v>
      </c>
      <c r="BB25" s="80">
        <v>1</v>
      </c>
      <c r="BC25" s="80">
        <v>1</v>
      </c>
      <c r="BD25" s="80">
        <v>1</v>
      </c>
      <c r="BE25" s="80">
        <v>1</v>
      </c>
      <c r="BF25" s="80">
        <v>1</v>
      </c>
      <c r="BG25" s="80">
        <v>1</v>
      </c>
      <c r="BH25" s="80">
        <v>1</v>
      </c>
      <c r="BI25" s="80">
        <v>1</v>
      </c>
      <c r="BJ25" s="65" t="e">
        <f t="shared" si="1"/>
        <v>#REF!</v>
      </c>
      <c r="BK25" s="65" t="str">
        <f t="shared" ref="BK25:BK36" si="6">IFERROR(IF(H25&gt;J25,AK25/BJ25,BJ25/AK25),"")</f>
        <v/>
      </c>
      <c r="BL25" s="60"/>
      <c r="BM25" s="54" t="e">
        <f>IF(#REF!=C25,#REF!+1,1)</f>
        <v>#REF!</v>
      </c>
      <c r="BN25" s="61">
        <v>44354.444074074076</v>
      </c>
    </row>
    <row r="26" spans="1:66" ht="45" x14ac:dyDescent="0.25">
      <c r="A26" s="54" t="e">
        <f t="shared" si="5"/>
        <v>#REF!</v>
      </c>
      <c r="B26" s="29" t="s">
        <v>16</v>
      </c>
      <c r="C26" s="30" t="s">
        <v>332</v>
      </c>
      <c r="D26" s="71" t="s">
        <v>339</v>
      </c>
      <c r="E26" s="62" t="s">
        <v>336</v>
      </c>
      <c r="F26" s="62" t="s">
        <v>334</v>
      </c>
      <c r="G26" s="62"/>
      <c r="H26" s="63"/>
      <c r="I26" s="64"/>
      <c r="J26" s="63"/>
      <c r="K26" s="64"/>
      <c r="L26" s="65"/>
      <c r="M26" s="79">
        <v>0.75</v>
      </c>
      <c r="N26" s="79">
        <v>0.75</v>
      </c>
      <c r="O26" s="79">
        <v>0.75</v>
      </c>
      <c r="P26" s="79">
        <v>0.75</v>
      </c>
      <c r="Q26" s="79">
        <v>0.75</v>
      </c>
      <c r="R26" s="79">
        <v>0.75</v>
      </c>
      <c r="S26" s="79">
        <v>0.75</v>
      </c>
      <c r="T26" s="79">
        <v>0.75</v>
      </c>
      <c r="U26" s="79">
        <v>0.75</v>
      </c>
      <c r="V26" s="79">
        <v>0.75</v>
      </c>
      <c r="W26" s="79">
        <v>0.75</v>
      </c>
      <c r="X26" s="79">
        <v>0.75</v>
      </c>
      <c r="Y26" s="79">
        <v>0.75</v>
      </c>
      <c r="Z26" s="79">
        <v>0.75</v>
      </c>
      <c r="AA26" s="79">
        <v>0.75</v>
      </c>
      <c r="AB26" s="79">
        <v>0.75</v>
      </c>
      <c r="AC26" s="79">
        <v>0.75</v>
      </c>
      <c r="AD26" s="79">
        <v>0.75</v>
      </c>
      <c r="AE26" s="79">
        <v>0.75</v>
      </c>
      <c r="AF26" s="79">
        <v>0.75</v>
      </c>
      <c r="AG26" s="79">
        <v>0.75</v>
      </c>
      <c r="AH26" s="79">
        <v>0.75</v>
      </c>
      <c r="AI26" s="79">
        <v>0.75</v>
      </c>
      <c r="AJ26" s="79">
        <v>0.75</v>
      </c>
      <c r="AK26" s="65" t="e">
        <f t="shared" si="0"/>
        <v>#REF!</v>
      </c>
      <c r="AL26" s="79">
        <v>0</v>
      </c>
      <c r="AM26" s="79">
        <v>0</v>
      </c>
      <c r="AN26" s="79">
        <v>0</v>
      </c>
      <c r="AO26" s="79">
        <v>0</v>
      </c>
      <c r="AP26" s="79">
        <v>0</v>
      </c>
      <c r="AQ26" s="79">
        <v>0</v>
      </c>
      <c r="AR26" s="79">
        <v>0</v>
      </c>
      <c r="AS26" s="79">
        <v>0</v>
      </c>
      <c r="AT26" s="79">
        <v>0</v>
      </c>
      <c r="AU26" s="79">
        <v>0</v>
      </c>
      <c r="AV26" s="79">
        <v>0</v>
      </c>
      <c r="AW26" s="79">
        <v>0</v>
      </c>
      <c r="AX26" s="79">
        <v>0</v>
      </c>
      <c r="AY26" s="79">
        <v>0</v>
      </c>
      <c r="AZ26" s="79">
        <v>0</v>
      </c>
      <c r="BA26" s="79">
        <v>0</v>
      </c>
      <c r="BB26" s="79">
        <v>0</v>
      </c>
      <c r="BC26" s="79">
        <v>0</v>
      </c>
      <c r="BD26" s="79">
        <v>0</v>
      </c>
      <c r="BE26" s="79">
        <v>0</v>
      </c>
      <c r="BF26" s="79">
        <v>0</v>
      </c>
      <c r="BG26" s="79">
        <v>0</v>
      </c>
      <c r="BH26" s="79">
        <v>0</v>
      </c>
      <c r="BI26" s="79">
        <v>0</v>
      </c>
      <c r="BJ26" s="65" t="e">
        <f t="shared" si="1"/>
        <v>#REF!</v>
      </c>
      <c r="BK26" s="65" t="str">
        <f t="shared" si="6"/>
        <v/>
      </c>
      <c r="BL26" s="60"/>
      <c r="BM26" s="54" t="e">
        <f t="shared" ref="BM26:BM34" si="7">IF(C25=C26,BM25+1,1)</f>
        <v>#REF!</v>
      </c>
      <c r="BN26" s="61">
        <v>44354.444074074076</v>
      </c>
    </row>
    <row r="27" spans="1:66" ht="45" x14ac:dyDescent="0.25">
      <c r="A27" s="54" t="e">
        <f t="shared" si="5"/>
        <v>#REF!</v>
      </c>
      <c r="B27" s="31" t="s">
        <v>15</v>
      </c>
      <c r="C27" s="32" t="s">
        <v>332</v>
      </c>
      <c r="D27" s="70" t="s">
        <v>2</v>
      </c>
      <c r="E27" s="66" t="s">
        <v>336</v>
      </c>
      <c r="F27" s="66" t="s">
        <v>334</v>
      </c>
      <c r="G27" s="66"/>
      <c r="H27" s="58"/>
      <c r="I27" s="59"/>
      <c r="J27" s="58"/>
      <c r="K27" s="59"/>
      <c r="L27" s="69"/>
      <c r="M27" s="80"/>
      <c r="N27" s="80"/>
      <c r="O27" s="80"/>
      <c r="P27" s="80"/>
      <c r="Q27" s="80"/>
      <c r="R27" s="80"/>
      <c r="S27" s="80"/>
      <c r="T27" s="80"/>
      <c r="U27" s="80"/>
      <c r="V27" s="80"/>
      <c r="W27" s="80"/>
      <c r="X27" s="80"/>
      <c r="Y27" s="80"/>
      <c r="Z27" s="80"/>
      <c r="AA27" s="80"/>
      <c r="AB27" s="80"/>
      <c r="AC27" s="80"/>
      <c r="AD27" s="80"/>
      <c r="AE27" s="80"/>
      <c r="AF27" s="80"/>
      <c r="AG27" s="80"/>
      <c r="AH27" s="80"/>
      <c r="AI27" s="80"/>
      <c r="AJ27" s="80"/>
      <c r="AK27" s="65" t="e">
        <f t="shared" si="0"/>
        <v>#REF!</v>
      </c>
      <c r="AL27" s="80">
        <v>0</v>
      </c>
      <c r="AM27" s="80">
        <v>0</v>
      </c>
      <c r="AN27" s="80">
        <v>0</v>
      </c>
      <c r="AO27" s="80">
        <v>0</v>
      </c>
      <c r="AP27" s="80">
        <v>0</v>
      </c>
      <c r="AQ27" s="80">
        <v>0</v>
      </c>
      <c r="AR27" s="80">
        <v>0</v>
      </c>
      <c r="AS27" s="80">
        <v>0</v>
      </c>
      <c r="AT27" s="80">
        <v>0</v>
      </c>
      <c r="AU27" s="80">
        <v>0</v>
      </c>
      <c r="AV27" s="80">
        <v>0</v>
      </c>
      <c r="AW27" s="80">
        <v>0</v>
      </c>
      <c r="AX27" s="80">
        <v>0</v>
      </c>
      <c r="AY27" s="80">
        <v>0</v>
      </c>
      <c r="AZ27" s="80">
        <v>0</v>
      </c>
      <c r="BA27" s="80">
        <v>0</v>
      </c>
      <c r="BB27" s="80">
        <v>0</v>
      </c>
      <c r="BC27" s="80">
        <v>0</v>
      </c>
      <c r="BD27" s="80">
        <v>0</v>
      </c>
      <c r="BE27" s="80">
        <v>0</v>
      </c>
      <c r="BF27" s="80">
        <v>0</v>
      </c>
      <c r="BG27" s="80">
        <v>0</v>
      </c>
      <c r="BH27" s="80">
        <v>0</v>
      </c>
      <c r="BI27" s="80">
        <v>0</v>
      </c>
      <c r="BJ27" s="65" t="e">
        <f t="shared" si="1"/>
        <v>#REF!</v>
      </c>
      <c r="BK27" s="65" t="str">
        <f t="shared" si="6"/>
        <v/>
      </c>
      <c r="BL27" s="60"/>
      <c r="BM27" s="54" t="e">
        <f>IF(#REF!=C27,#REF!+1,1)</f>
        <v>#REF!</v>
      </c>
      <c r="BN27" s="61">
        <v>44354.442233796297</v>
      </c>
    </row>
    <row r="28" spans="1:66" ht="45" x14ac:dyDescent="0.25">
      <c r="A28" s="54" t="e">
        <f t="shared" si="5"/>
        <v>#REF!</v>
      </c>
      <c r="B28" s="29" t="s">
        <v>15</v>
      </c>
      <c r="C28" s="30" t="s">
        <v>332</v>
      </c>
      <c r="D28" s="71" t="s">
        <v>3</v>
      </c>
      <c r="E28" s="62" t="s">
        <v>333</v>
      </c>
      <c r="F28" s="62" t="s">
        <v>334</v>
      </c>
      <c r="G28" s="62"/>
      <c r="H28" s="63"/>
      <c r="I28" s="64"/>
      <c r="J28" s="63"/>
      <c r="K28" s="64"/>
      <c r="L28" s="65"/>
      <c r="M28" s="79">
        <v>0.75</v>
      </c>
      <c r="N28" s="79">
        <v>0.75</v>
      </c>
      <c r="O28" s="79">
        <v>0.75</v>
      </c>
      <c r="P28" s="79">
        <v>0.75</v>
      </c>
      <c r="Q28" s="79">
        <v>0.75</v>
      </c>
      <c r="R28" s="79">
        <v>0.75</v>
      </c>
      <c r="S28" s="79">
        <v>0.75</v>
      </c>
      <c r="T28" s="79">
        <v>0.75</v>
      </c>
      <c r="U28" s="79">
        <v>0.75</v>
      </c>
      <c r="V28" s="79">
        <v>0.75</v>
      </c>
      <c r="W28" s="79">
        <v>0.75</v>
      </c>
      <c r="X28" s="79">
        <v>0.75</v>
      </c>
      <c r="Y28" s="79">
        <v>0.75</v>
      </c>
      <c r="Z28" s="79">
        <v>0.75</v>
      </c>
      <c r="AA28" s="79">
        <v>0.75</v>
      </c>
      <c r="AB28" s="79">
        <v>0.75</v>
      </c>
      <c r="AC28" s="79">
        <v>0.75</v>
      </c>
      <c r="AD28" s="79">
        <v>0.75</v>
      </c>
      <c r="AE28" s="79">
        <v>0.75</v>
      </c>
      <c r="AF28" s="79">
        <v>0.75</v>
      </c>
      <c r="AG28" s="79">
        <v>0.75</v>
      </c>
      <c r="AH28" s="79">
        <v>0.75</v>
      </c>
      <c r="AI28" s="79">
        <v>0.75</v>
      </c>
      <c r="AJ28" s="79">
        <v>0.75</v>
      </c>
      <c r="AK28" s="65" t="e">
        <f t="shared" si="0"/>
        <v>#REF!</v>
      </c>
      <c r="AL28" s="79">
        <v>0</v>
      </c>
      <c r="AM28" s="79">
        <v>0</v>
      </c>
      <c r="AN28" s="79">
        <v>0</v>
      </c>
      <c r="AO28" s="79">
        <v>0</v>
      </c>
      <c r="AP28" s="79">
        <v>0</v>
      </c>
      <c r="AQ28" s="79">
        <v>0</v>
      </c>
      <c r="AR28" s="79">
        <v>0</v>
      </c>
      <c r="AS28" s="79">
        <v>0</v>
      </c>
      <c r="AT28" s="79">
        <v>0</v>
      </c>
      <c r="AU28" s="79">
        <v>0</v>
      </c>
      <c r="AV28" s="79">
        <v>0</v>
      </c>
      <c r="AW28" s="79">
        <v>0</v>
      </c>
      <c r="AX28" s="79">
        <v>0</v>
      </c>
      <c r="AY28" s="79">
        <v>0</v>
      </c>
      <c r="AZ28" s="79">
        <v>0</v>
      </c>
      <c r="BA28" s="79">
        <v>0</v>
      </c>
      <c r="BB28" s="79">
        <v>0</v>
      </c>
      <c r="BC28" s="79">
        <v>0</v>
      </c>
      <c r="BD28" s="79">
        <v>0</v>
      </c>
      <c r="BE28" s="79">
        <v>0</v>
      </c>
      <c r="BF28" s="79">
        <v>0</v>
      </c>
      <c r="BG28" s="79">
        <v>0</v>
      </c>
      <c r="BH28" s="79">
        <v>0</v>
      </c>
      <c r="BI28" s="79">
        <v>0</v>
      </c>
      <c r="BJ28" s="65" t="e">
        <f t="shared" si="1"/>
        <v>#REF!</v>
      </c>
      <c r="BK28" s="65" t="str">
        <f t="shared" si="6"/>
        <v/>
      </c>
      <c r="BL28" s="60"/>
      <c r="BM28" s="54" t="e">
        <f t="shared" si="7"/>
        <v>#REF!</v>
      </c>
      <c r="BN28" s="61">
        <v>44354.442233796297</v>
      </c>
    </row>
    <row r="29" spans="1:66" ht="45" x14ac:dyDescent="0.25">
      <c r="A29" s="54" t="e">
        <f t="shared" si="5"/>
        <v>#REF!</v>
      </c>
      <c r="B29" s="31" t="s">
        <v>105</v>
      </c>
      <c r="C29" s="32" t="s">
        <v>332</v>
      </c>
      <c r="D29" s="70" t="s">
        <v>338</v>
      </c>
      <c r="E29" s="66" t="s">
        <v>333</v>
      </c>
      <c r="F29" s="66" t="s">
        <v>334</v>
      </c>
      <c r="G29" s="66"/>
      <c r="H29" s="58"/>
      <c r="I29" s="59"/>
      <c r="J29" s="58"/>
      <c r="K29" s="59"/>
      <c r="L29" s="69"/>
      <c r="M29" s="80"/>
      <c r="N29" s="80"/>
      <c r="O29" s="80"/>
      <c r="P29" s="80"/>
      <c r="Q29" s="80"/>
      <c r="R29" s="80"/>
      <c r="S29" s="80"/>
      <c r="T29" s="80"/>
      <c r="U29" s="80"/>
      <c r="V29" s="80"/>
      <c r="W29" s="80"/>
      <c r="X29" s="80"/>
      <c r="Y29" s="80"/>
      <c r="Z29" s="80"/>
      <c r="AA29" s="80"/>
      <c r="AB29" s="80"/>
      <c r="AC29" s="80"/>
      <c r="AD29" s="80"/>
      <c r="AE29" s="80"/>
      <c r="AF29" s="80"/>
      <c r="AG29" s="80"/>
      <c r="AH29" s="80"/>
      <c r="AI29" s="80"/>
      <c r="AJ29" s="80"/>
      <c r="AK29" s="65" t="e">
        <f t="shared" si="0"/>
        <v>#REF!</v>
      </c>
      <c r="AL29" s="80">
        <v>0</v>
      </c>
      <c r="AM29" s="80">
        <v>0</v>
      </c>
      <c r="AN29" s="80">
        <v>0</v>
      </c>
      <c r="AO29" s="80">
        <v>0</v>
      </c>
      <c r="AP29" s="80">
        <v>0</v>
      </c>
      <c r="AQ29" s="80">
        <v>0</v>
      </c>
      <c r="AR29" s="80">
        <v>0</v>
      </c>
      <c r="AS29" s="80">
        <v>0</v>
      </c>
      <c r="AT29" s="80">
        <v>0</v>
      </c>
      <c r="AU29" s="80">
        <v>0</v>
      </c>
      <c r="AV29" s="80">
        <v>0</v>
      </c>
      <c r="AW29" s="80">
        <v>0</v>
      </c>
      <c r="AX29" s="80">
        <v>0</v>
      </c>
      <c r="AY29" s="80">
        <v>0</v>
      </c>
      <c r="AZ29" s="80">
        <v>0</v>
      </c>
      <c r="BA29" s="80">
        <v>0</v>
      </c>
      <c r="BB29" s="80">
        <v>0</v>
      </c>
      <c r="BC29" s="80">
        <v>0</v>
      </c>
      <c r="BD29" s="80">
        <v>0</v>
      </c>
      <c r="BE29" s="80">
        <v>0</v>
      </c>
      <c r="BF29" s="80">
        <v>0</v>
      </c>
      <c r="BG29" s="80">
        <v>0</v>
      </c>
      <c r="BH29" s="80">
        <v>0</v>
      </c>
      <c r="BI29" s="80">
        <v>0</v>
      </c>
      <c r="BJ29" s="65" t="e">
        <f t="shared" si="1"/>
        <v>#REF!</v>
      </c>
      <c r="BK29" s="65" t="str">
        <f t="shared" si="6"/>
        <v/>
      </c>
      <c r="BL29" s="60"/>
      <c r="BM29" s="54" t="e">
        <f>IF(#REF!=C29,#REF!+1,1)</f>
        <v>#REF!</v>
      </c>
      <c r="BN29" s="61">
        <v>44354.442476851851</v>
      </c>
    </row>
    <row r="30" spans="1:66" ht="45" x14ac:dyDescent="0.25">
      <c r="A30" s="54" t="e">
        <f t="shared" si="5"/>
        <v>#REF!</v>
      </c>
      <c r="B30" s="29" t="s">
        <v>105</v>
      </c>
      <c r="C30" s="30" t="s">
        <v>332</v>
      </c>
      <c r="D30" s="71" t="s">
        <v>339</v>
      </c>
      <c r="E30" s="62" t="s">
        <v>336</v>
      </c>
      <c r="F30" s="62" t="s">
        <v>334</v>
      </c>
      <c r="G30" s="62"/>
      <c r="H30" s="63"/>
      <c r="I30" s="64"/>
      <c r="J30" s="63"/>
      <c r="K30" s="64"/>
      <c r="L30" s="65"/>
      <c r="M30" s="79">
        <v>0.75</v>
      </c>
      <c r="N30" s="79">
        <v>0.75</v>
      </c>
      <c r="O30" s="79">
        <v>0.75</v>
      </c>
      <c r="P30" s="79">
        <v>0.75</v>
      </c>
      <c r="Q30" s="79">
        <v>0.75</v>
      </c>
      <c r="R30" s="79">
        <v>0.75</v>
      </c>
      <c r="S30" s="79">
        <v>0.75</v>
      </c>
      <c r="T30" s="79">
        <v>0.75</v>
      </c>
      <c r="U30" s="79">
        <v>0.75</v>
      </c>
      <c r="V30" s="79">
        <v>0.75</v>
      </c>
      <c r="W30" s="79">
        <v>0.75</v>
      </c>
      <c r="X30" s="79">
        <v>0.75</v>
      </c>
      <c r="Y30" s="79">
        <v>0.75</v>
      </c>
      <c r="Z30" s="79">
        <v>0.75</v>
      </c>
      <c r="AA30" s="79">
        <v>0.75</v>
      </c>
      <c r="AB30" s="79">
        <v>0.75</v>
      </c>
      <c r="AC30" s="79">
        <v>0.75</v>
      </c>
      <c r="AD30" s="79">
        <v>0.75</v>
      </c>
      <c r="AE30" s="79">
        <v>0.75</v>
      </c>
      <c r="AF30" s="79">
        <v>0.75</v>
      </c>
      <c r="AG30" s="79">
        <v>0.75</v>
      </c>
      <c r="AH30" s="79">
        <v>0.75</v>
      </c>
      <c r="AI30" s="79">
        <v>0.75</v>
      </c>
      <c r="AJ30" s="79">
        <v>0.75</v>
      </c>
      <c r="AK30" s="65" t="e">
        <f t="shared" si="0"/>
        <v>#REF!</v>
      </c>
      <c r="AL30" s="79">
        <v>0</v>
      </c>
      <c r="AM30" s="79">
        <v>0</v>
      </c>
      <c r="AN30" s="79">
        <v>0</v>
      </c>
      <c r="AO30" s="79">
        <v>0</v>
      </c>
      <c r="AP30" s="79">
        <v>0</v>
      </c>
      <c r="AQ30" s="79">
        <v>0</v>
      </c>
      <c r="AR30" s="79">
        <v>0</v>
      </c>
      <c r="AS30" s="79">
        <v>0</v>
      </c>
      <c r="AT30" s="79">
        <v>0</v>
      </c>
      <c r="AU30" s="79">
        <v>0</v>
      </c>
      <c r="AV30" s="79">
        <v>0</v>
      </c>
      <c r="AW30" s="79">
        <v>0</v>
      </c>
      <c r="AX30" s="79">
        <v>0</v>
      </c>
      <c r="AY30" s="79">
        <v>0</v>
      </c>
      <c r="AZ30" s="79">
        <v>0</v>
      </c>
      <c r="BA30" s="79">
        <v>0</v>
      </c>
      <c r="BB30" s="79">
        <v>0</v>
      </c>
      <c r="BC30" s="79">
        <v>0</v>
      </c>
      <c r="BD30" s="79">
        <v>0</v>
      </c>
      <c r="BE30" s="79">
        <v>0</v>
      </c>
      <c r="BF30" s="79">
        <v>0</v>
      </c>
      <c r="BG30" s="79">
        <v>0</v>
      </c>
      <c r="BH30" s="79">
        <v>0</v>
      </c>
      <c r="BI30" s="79">
        <v>0</v>
      </c>
      <c r="BJ30" s="65" t="e">
        <f t="shared" si="1"/>
        <v>#REF!</v>
      </c>
      <c r="BK30" s="65" t="str">
        <f t="shared" si="6"/>
        <v/>
      </c>
      <c r="BL30" s="60"/>
      <c r="BM30" s="54" t="e">
        <f t="shared" si="7"/>
        <v>#REF!</v>
      </c>
      <c r="BN30" s="61">
        <v>44354.442476851851</v>
      </c>
    </row>
    <row r="31" spans="1:66" x14ac:dyDescent="0.25">
      <c r="A31" s="54" t="e">
        <f t="shared" si="5"/>
        <v>#REF!</v>
      </c>
      <c r="B31" s="33" t="s">
        <v>318</v>
      </c>
      <c r="C31" s="33" t="s">
        <v>332</v>
      </c>
      <c r="D31" s="56"/>
      <c r="E31" s="57"/>
      <c r="F31" s="57"/>
      <c r="G31" s="57"/>
      <c r="H31" s="58"/>
      <c r="I31" s="59"/>
      <c r="J31" s="58"/>
      <c r="K31" s="59"/>
      <c r="L31" s="77"/>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65" t="e">
        <f t="shared" si="0"/>
        <v>#REF!</v>
      </c>
      <c r="AL31" s="83">
        <v>0</v>
      </c>
      <c r="AM31" s="83">
        <v>0</v>
      </c>
      <c r="AN31" s="83">
        <v>0</v>
      </c>
      <c r="AO31" s="83">
        <v>0</v>
      </c>
      <c r="AP31" s="83">
        <v>0</v>
      </c>
      <c r="AQ31" s="83">
        <v>0</v>
      </c>
      <c r="AR31" s="83">
        <v>0</v>
      </c>
      <c r="AS31" s="83">
        <v>0</v>
      </c>
      <c r="AT31" s="83">
        <v>0</v>
      </c>
      <c r="AU31" s="83">
        <v>0</v>
      </c>
      <c r="AV31" s="83">
        <v>0</v>
      </c>
      <c r="AW31" s="83">
        <v>0</v>
      </c>
      <c r="AX31" s="83">
        <v>0</v>
      </c>
      <c r="AY31" s="83">
        <v>0</v>
      </c>
      <c r="AZ31" s="83">
        <v>0</v>
      </c>
      <c r="BA31" s="83">
        <v>0</v>
      </c>
      <c r="BB31" s="83">
        <v>0</v>
      </c>
      <c r="BC31" s="83">
        <v>0</v>
      </c>
      <c r="BD31" s="83">
        <v>0</v>
      </c>
      <c r="BE31" s="83">
        <v>0</v>
      </c>
      <c r="BF31" s="83">
        <v>0</v>
      </c>
      <c r="BG31" s="83">
        <v>0</v>
      </c>
      <c r="BH31" s="83">
        <v>0</v>
      </c>
      <c r="BI31" s="83">
        <v>0</v>
      </c>
      <c r="BJ31" s="65" t="e">
        <f t="shared" si="1"/>
        <v>#REF!</v>
      </c>
      <c r="BK31" s="65" t="str">
        <f t="shared" si="6"/>
        <v/>
      </c>
      <c r="BL31" s="60"/>
      <c r="BM31" s="54" t="e">
        <f>IF(#REF!=C31,#REF!+1,1)</f>
        <v>#REF!</v>
      </c>
      <c r="BN31" s="61">
        <v>44354.442743055559</v>
      </c>
    </row>
    <row r="32" spans="1:66" x14ac:dyDescent="0.25">
      <c r="A32" s="54" t="e">
        <f t="shared" si="5"/>
        <v>#REF!</v>
      </c>
      <c r="B32" s="52" t="s">
        <v>318</v>
      </c>
      <c r="C32" s="52" t="s">
        <v>332</v>
      </c>
      <c r="D32" s="74"/>
      <c r="E32" s="75"/>
      <c r="F32" s="75"/>
      <c r="G32" s="75"/>
      <c r="H32" s="72"/>
      <c r="I32" s="73"/>
      <c r="J32" s="72"/>
      <c r="K32" s="73"/>
      <c r="L32" s="78"/>
      <c r="M32" s="84">
        <v>0.75</v>
      </c>
      <c r="N32" s="84">
        <v>0.75</v>
      </c>
      <c r="O32" s="84">
        <v>0.75</v>
      </c>
      <c r="P32" s="84">
        <v>0.75</v>
      </c>
      <c r="Q32" s="84">
        <v>0.75</v>
      </c>
      <c r="R32" s="84">
        <v>0.75</v>
      </c>
      <c r="S32" s="84">
        <v>0.75</v>
      </c>
      <c r="T32" s="84">
        <v>0.75</v>
      </c>
      <c r="U32" s="84">
        <v>0.75</v>
      </c>
      <c r="V32" s="84">
        <v>0.75</v>
      </c>
      <c r="W32" s="84">
        <v>0.75</v>
      </c>
      <c r="X32" s="84">
        <v>0.75</v>
      </c>
      <c r="Y32" s="84">
        <v>0.75</v>
      </c>
      <c r="Z32" s="84">
        <v>0.75</v>
      </c>
      <c r="AA32" s="84">
        <v>0.75</v>
      </c>
      <c r="AB32" s="84">
        <v>0.75</v>
      </c>
      <c r="AC32" s="84">
        <v>0.75</v>
      </c>
      <c r="AD32" s="84">
        <v>0.75</v>
      </c>
      <c r="AE32" s="84">
        <v>0.75</v>
      </c>
      <c r="AF32" s="84">
        <v>0.75</v>
      </c>
      <c r="AG32" s="84">
        <v>0.75</v>
      </c>
      <c r="AH32" s="84">
        <v>0.75</v>
      </c>
      <c r="AI32" s="84">
        <v>0.75</v>
      </c>
      <c r="AJ32" s="84">
        <v>0.75</v>
      </c>
      <c r="AK32" s="65" t="e">
        <f t="shared" si="0"/>
        <v>#REF!</v>
      </c>
      <c r="AL32" s="84">
        <v>0</v>
      </c>
      <c r="AM32" s="84">
        <v>0</v>
      </c>
      <c r="AN32" s="84">
        <v>0</v>
      </c>
      <c r="AO32" s="84">
        <v>0</v>
      </c>
      <c r="AP32" s="84">
        <v>0</v>
      </c>
      <c r="AQ32" s="84">
        <v>0</v>
      </c>
      <c r="AR32" s="84">
        <v>0</v>
      </c>
      <c r="AS32" s="84">
        <v>0</v>
      </c>
      <c r="AT32" s="84">
        <v>0</v>
      </c>
      <c r="AU32" s="84">
        <v>0</v>
      </c>
      <c r="AV32" s="84">
        <v>0</v>
      </c>
      <c r="AW32" s="84">
        <v>0</v>
      </c>
      <c r="AX32" s="84">
        <v>0</v>
      </c>
      <c r="AY32" s="84">
        <v>0</v>
      </c>
      <c r="AZ32" s="84">
        <v>0</v>
      </c>
      <c r="BA32" s="84">
        <v>0</v>
      </c>
      <c r="BB32" s="84">
        <v>0</v>
      </c>
      <c r="BC32" s="84">
        <v>0</v>
      </c>
      <c r="BD32" s="84">
        <v>0</v>
      </c>
      <c r="BE32" s="84">
        <v>0</v>
      </c>
      <c r="BF32" s="84">
        <v>0</v>
      </c>
      <c r="BG32" s="84">
        <v>0</v>
      </c>
      <c r="BH32" s="84">
        <v>0</v>
      </c>
      <c r="BI32" s="84">
        <v>0</v>
      </c>
      <c r="BJ32" s="65" t="e">
        <f t="shared" si="1"/>
        <v>#REF!</v>
      </c>
      <c r="BK32" s="65" t="str">
        <f t="shared" si="6"/>
        <v/>
      </c>
      <c r="BL32" s="60"/>
      <c r="BM32" s="54" t="e">
        <f t="shared" si="7"/>
        <v>#REF!</v>
      </c>
      <c r="BN32" s="61">
        <v>44354.442743055559</v>
      </c>
    </row>
    <row r="33" spans="1:66" x14ac:dyDescent="0.25">
      <c r="A33" s="54" t="e">
        <f t="shared" si="5"/>
        <v>#REF!</v>
      </c>
      <c r="B33" s="33" t="s">
        <v>340</v>
      </c>
      <c r="C33" s="33" t="s">
        <v>332</v>
      </c>
      <c r="D33" s="56"/>
      <c r="E33" s="57"/>
      <c r="F33" s="57"/>
      <c r="G33" s="57"/>
      <c r="H33" s="58"/>
      <c r="I33" s="59"/>
      <c r="J33" s="58"/>
      <c r="K33" s="59"/>
      <c r="L33" s="77"/>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65" t="e">
        <f t="shared" si="0"/>
        <v>#REF!</v>
      </c>
      <c r="AL33" s="83">
        <v>0</v>
      </c>
      <c r="AM33" s="83">
        <v>0</v>
      </c>
      <c r="AN33" s="83">
        <v>0</v>
      </c>
      <c r="AO33" s="83">
        <v>0</v>
      </c>
      <c r="AP33" s="83">
        <v>0</v>
      </c>
      <c r="AQ33" s="83">
        <v>0</v>
      </c>
      <c r="AR33" s="83">
        <v>0</v>
      </c>
      <c r="AS33" s="83">
        <v>0</v>
      </c>
      <c r="AT33" s="83">
        <v>0</v>
      </c>
      <c r="AU33" s="83">
        <v>0</v>
      </c>
      <c r="AV33" s="83">
        <v>0</v>
      </c>
      <c r="AW33" s="83">
        <v>0</v>
      </c>
      <c r="AX33" s="83">
        <v>0</v>
      </c>
      <c r="AY33" s="83">
        <v>0</v>
      </c>
      <c r="AZ33" s="83">
        <v>0</v>
      </c>
      <c r="BA33" s="83">
        <v>0</v>
      </c>
      <c r="BB33" s="83">
        <v>0</v>
      </c>
      <c r="BC33" s="83">
        <v>0</v>
      </c>
      <c r="BD33" s="83">
        <v>0</v>
      </c>
      <c r="BE33" s="83">
        <v>0</v>
      </c>
      <c r="BF33" s="83">
        <v>0</v>
      </c>
      <c r="BG33" s="83">
        <v>0</v>
      </c>
      <c r="BH33" s="83">
        <v>0</v>
      </c>
      <c r="BI33" s="83">
        <v>0</v>
      </c>
      <c r="BJ33" s="65" t="e">
        <f t="shared" si="1"/>
        <v>#REF!</v>
      </c>
      <c r="BK33" s="65" t="str">
        <f t="shared" si="6"/>
        <v/>
      </c>
      <c r="BL33" s="60"/>
      <c r="BM33" s="54" t="e">
        <f>IF(#REF!=C33,#REF!+1,1)</f>
        <v>#REF!</v>
      </c>
      <c r="BN33" s="61">
        <v>44354.44295138889</v>
      </c>
    </row>
    <row r="34" spans="1:66" x14ac:dyDescent="0.25">
      <c r="A34" s="54" t="e">
        <f t="shared" si="5"/>
        <v>#REF!</v>
      </c>
      <c r="B34" s="52" t="s">
        <v>340</v>
      </c>
      <c r="C34" s="52" t="s">
        <v>332</v>
      </c>
      <c r="D34" s="74"/>
      <c r="E34" s="75"/>
      <c r="F34" s="75"/>
      <c r="G34" s="75"/>
      <c r="H34" s="72"/>
      <c r="I34" s="73"/>
      <c r="J34" s="72"/>
      <c r="K34" s="73"/>
      <c r="L34" s="78"/>
      <c r="M34" s="84">
        <v>0.75</v>
      </c>
      <c r="N34" s="84">
        <v>0.75</v>
      </c>
      <c r="O34" s="84">
        <v>0.75</v>
      </c>
      <c r="P34" s="84">
        <v>0.75</v>
      </c>
      <c r="Q34" s="84">
        <v>0.75</v>
      </c>
      <c r="R34" s="84">
        <v>0.75</v>
      </c>
      <c r="S34" s="84">
        <v>0.75</v>
      </c>
      <c r="T34" s="84">
        <v>0.75</v>
      </c>
      <c r="U34" s="84">
        <v>0.75</v>
      </c>
      <c r="V34" s="84">
        <v>0.75</v>
      </c>
      <c r="W34" s="84">
        <v>0.75</v>
      </c>
      <c r="X34" s="84">
        <v>0.75</v>
      </c>
      <c r="Y34" s="84">
        <v>0.75</v>
      </c>
      <c r="Z34" s="84">
        <v>0.75</v>
      </c>
      <c r="AA34" s="84">
        <v>0.75</v>
      </c>
      <c r="AB34" s="84">
        <v>0.75</v>
      </c>
      <c r="AC34" s="84">
        <v>0.75</v>
      </c>
      <c r="AD34" s="84">
        <v>0.75</v>
      </c>
      <c r="AE34" s="84">
        <v>0.75</v>
      </c>
      <c r="AF34" s="84">
        <v>0.75</v>
      </c>
      <c r="AG34" s="84">
        <v>0.75</v>
      </c>
      <c r="AH34" s="84">
        <v>0.75</v>
      </c>
      <c r="AI34" s="84">
        <v>0.75</v>
      </c>
      <c r="AJ34" s="84">
        <v>0.75</v>
      </c>
      <c r="AK34" s="65" t="e">
        <f t="shared" si="0"/>
        <v>#REF!</v>
      </c>
      <c r="AL34" s="84">
        <v>0</v>
      </c>
      <c r="AM34" s="84">
        <v>0</v>
      </c>
      <c r="AN34" s="84">
        <v>0</v>
      </c>
      <c r="AO34" s="84">
        <v>0</v>
      </c>
      <c r="AP34" s="84">
        <v>0</v>
      </c>
      <c r="AQ34" s="84">
        <v>0</v>
      </c>
      <c r="AR34" s="84">
        <v>0</v>
      </c>
      <c r="AS34" s="84">
        <v>0</v>
      </c>
      <c r="AT34" s="84">
        <v>0</v>
      </c>
      <c r="AU34" s="84">
        <v>0</v>
      </c>
      <c r="AV34" s="84">
        <v>0</v>
      </c>
      <c r="AW34" s="84">
        <v>0</v>
      </c>
      <c r="AX34" s="84">
        <v>0</v>
      </c>
      <c r="AY34" s="84">
        <v>0</v>
      </c>
      <c r="AZ34" s="84">
        <v>0</v>
      </c>
      <c r="BA34" s="84">
        <v>0</v>
      </c>
      <c r="BB34" s="84">
        <v>0</v>
      </c>
      <c r="BC34" s="84">
        <v>0</v>
      </c>
      <c r="BD34" s="84">
        <v>0</v>
      </c>
      <c r="BE34" s="84">
        <v>0</v>
      </c>
      <c r="BF34" s="84">
        <v>0</v>
      </c>
      <c r="BG34" s="84">
        <v>0</v>
      </c>
      <c r="BH34" s="84">
        <v>0</v>
      </c>
      <c r="BI34" s="84">
        <v>0</v>
      </c>
      <c r="BJ34" s="65" t="e">
        <f t="shared" si="1"/>
        <v>#REF!</v>
      </c>
      <c r="BK34" s="65" t="str">
        <f t="shared" si="6"/>
        <v/>
      </c>
      <c r="BL34" s="60"/>
      <c r="BM34" s="54" t="e">
        <f t="shared" si="7"/>
        <v>#REF!</v>
      </c>
      <c r="BN34" s="61">
        <v>44354.44295138889</v>
      </c>
    </row>
    <row r="35" spans="1:66" s="85" customFormat="1" ht="45" x14ac:dyDescent="0.25">
      <c r="B35" s="86" t="s">
        <v>361</v>
      </c>
      <c r="C35" s="86" t="s">
        <v>332</v>
      </c>
      <c r="D35" s="87" t="s">
        <v>2</v>
      </c>
      <c r="E35" s="88" t="s">
        <v>333</v>
      </c>
      <c r="F35" s="88"/>
      <c r="G35" s="88"/>
      <c r="H35" s="89"/>
      <c r="I35" s="90"/>
      <c r="J35" s="89"/>
      <c r="K35" s="90"/>
      <c r="L35" s="91"/>
      <c r="M35" s="104" t="e">
        <f>SUMIF(#REF!,"=Total de entregas previstas até o final do mês de apuração",#REF!)/SUMIF(#REF!,"=Total de entregas previstas até o final do projeto",#REF!)</f>
        <v>#REF!</v>
      </c>
      <c r="N35" s="104" t="e">
        <f>SUMIF(#REF!,"=Total de entregas previstas até o final do mês de apuração",#REF!)/SUMIF(#REF!,"=Total de entregas previstas até o final do projeto",#REF!)</f>
        <v>#REF!</v>
      </c>
      <c r="O35" s="104" t="e">
        <f>SUMIF(#REF!,"=Total de entregas previstas até o final do mês de apuração",#REF!)/SUMIF(#REF!,"=Total de entregas previstas até o final do projeto",#REF!)</f>
        <v>#REF!</v>
      </c>
      <c r="P35" s="104" t="e">
        <f>SUMIF(#REF!,"=Total de entregas previstas até o final do mês de apuração",#REF!)/SUMIF(#REF!,"=Total de entregas previstas até o final do projeto",#REF!)</f>
        <v>#REF!</v>
      </c>
      <c r="Q35" s="104" t="e">
        <f>SUMIF(#REF!,"=Total de entregas previstas até o final do mês de apuração",#REF!)/SUMIF(#REF!,"=Total de entregas previstas até o final do projeto",#REF!)</f>
        <v>#REF!</v>
      </c>
      <c r="R35" s="104" t="e">
        <f>SUMIF(#REF!,"=Total de entregas previstas até o final do mês de apuração",#REF!)/SUMIF(#REF!,"=Total de entregas previstas até o final do projeto",#REF!)</f>
        <v>#REF!</v>
      </c>
      <c r="S35" s="104" t="e">
        <f>SUMIF(#REF!,"=Total de entregas previstas até o final do mês de apuração",#REF!)/SUMIF(#REF!,"=Total de entregas previstas até o final do projeto",#REF!)</f>
        <v>#REF!</v>
      </c>
      <c r="T35" s="104" t="e">
        <f>SUMIF(#REF!,"=Total de entregas previstas até o final do mês de apuração",#REF!)/SUMIF(#REF!,"=Total de entregas previstas até o final do projeto",#REF!)</f>
        <v>#REF!</v>
      </c>
      <c r="U35" s="104" t="e">
        <f>SUMIF(#REF!,"=Total de entregas previstas até o final do mês de apuração",#REF!)/SUMIF(#REF!,"=Total de entregas previstas até o final do projeto",#REF!)</f>
        <v>#REF!</v>
      </c>
      <c r="V35" s="104" t="e">
        <f>SUMIF(#REF!,"=Total de entregas previstas até o final do mês de apuração",#REF!)/SUMIF(#REF!,"=Total de entregas previstas até o final do projeto",#REF!)</f>
        <v>#REF!</v>
      </c>
      <c r="W35" s="104" t="e">
        <f>SUMIF(#REF!,"=Total de entregas previstas até o final do mês de apuração",#REF!)/SUMIF(#REF!,"=Total de entregas previstas até o final do projeto",#REF!)</f>
        <v>#REF!</v>
      </c>
      <c r="X35" s="104" t="e">
        <f>SUMIF(#REF!,"=Total de entregas previstas até o final do mês de apuração",#REF!)/SUMIF(#REF!,"=Total de entregas previstas até o final do projeto",#REF!)</f>
        <v>#REF!</v>
      </c>
      <c r="Y35" s="104" t="e">
        <f>SUMIF(#REF!,"=Total de entregas previstas até o final do mês de apuração",#REF!)/SUMIF(#REF!,"=Total de entregas previstas até o final do projeto",#REF!)</f>
        <v>#REF!</v>
      </c>
      <c r="Z35" s="104" t="e">
        <f>SUMIF(#REF!,"=Total de entregas previstas até o final do mês de apuração",#REF!)/SUMIF(#REF!,"=Total de entregas previstas até o final do projeto",#REF!)</f>
        <v>#REF!</v>
      </c>
      <c r="AA35" s="104" t="e">
        <f>SUMIF(#REF!,"=Total de entregas previstas até o final do mês de apuração",#REF!)/SUMIF(#REF!,"=Total de entregas previstas até o final do projeto",#REF!)</f>
        <v>#REF!</v>
      </c>
      <c r="AB35" s="104" t="e">
        <f>SUMIF(#REF!,"=Total de entregas previstas até o final do mês de apuração",#REF!)/SUMIF(#REF!,"=Total de entregas previstas até o final do projeto",#REF!)</f>
        <v>#REF!</v>
      </c>
      <c r="AC35" s="104" t="e">
        <f>SUMIF(#REF!,"=Total de entregas previstas até o final do mês de apuração",#REF!)/SUMIF(#REF!,"=Total de entregas previstas até o final do projeto",#REF!)</f>
        <v>#REF!</v>
      </c>
      <c r="AD35" s="104" t="e">
        <f>SUMIF(#REF!,"=Total de entregas previstas até o final do mês de apuração",#REF!)/SUMIF(#REF!,"=Total de entregas previstas até o final do projeto",#REF!)</f>
        <v>#REF!</v>
      </c>
      <c r="AE35" s="104" t="e">
        <f>SUMIF(#REF!,"=Total de entregas previstas até o final do mês de apuração",#REF!)/SUMIF(#REF!,"=Total de entregas previstas até o final do projeto",#REF!)</f>
        <v>#REF!</v>
      </c>
      <c r="AF35" s="104" t="e">
        <f>SUMIF(#REF!,"=Total de entregas previstas até o final do mês de apuração",#REF!)/SUMIF(#REF!,"=Total de entregas previstas até o final do projeto",#REF!)</f>
        <v>#REF!</v>
      </c>
      <c r="AG35" s="104" t="e">
        <f>SUMIF(#REF!,"=Total de entregas previstas até o final do mês de apuração",#REF!)/SUMIF(#REF!,"=Total de entregas previstas até o final do projeto",#REF!)</f>
        <v>#REF!</v>
      </c>
      <c r="AH35" s="104" t="e">
        <f>SUMIF(#REF!,"=Total de entregas previstas até o final do mês de apuração",#REF!)/SUMIF(#REF!,"=Total de entregas previstas até o final do projeto",#REF!)</f>
        <v>#REF!</v>
      </c>
      <c r="AI35" s="104" t="e">
        <f>SUMIF(#REF!,"=Total de entregas previstas até o final do mês de apuração",#REF!)/SUMIF(#REF!,"=Total de entregas previstas até o final do projeto",#REF!)</f>
        <v>#REF!</v>
      </c>
      <c r="AJ35" s="104" t="e">
        <f>SUMIF(#REF!,"=Total de entregas previstas até o final do mês de apuração",#REF!)/SUMIF(#REF!,"=Total de entregas previstas até o final do projeto",#REF!)</f>
        <v>#REF!</v>
      </c>
      <c r="AK35" s="65" t="e">
        <f t="shared" si="0"/>
        <v>#REF!</v>
      </c>
      <c r="AL35" s="91" t="e">
        <f>SUMIF(#REF!,"=Total de entregas realizadas até o mês de apuração (acumulado)",#REF!)/SUMIF(#REF!,"=Total de entregas previstas até o final do projeto",#REF!)</f>
        <v>#REF!</v>
      </c>
      <c r="AM35" s="91" t="e">
        <f>SUMIF(#REF!,"=Total de entregas realizadas até o mês de apuração (acumulado)",#REF!)/SUMIF(#REF!,"=Total de entregas previstas até o final do projeto",#REF!)</f>
        <v>#REF!</v>
      </c>
      <c r="AN35" s="91" t="e">
        <f>SUMIF(#REF!,"=Total de entregas realizadas até o mês de apuração (acumulado)",#REF!)/SUMIF(#REF!,"=Total de entregas previstas até o final do projeto",#REF!)</f>
        <v>#REF!</v>
      </c>
      <c r="AO35" s="91" t="e">
        <f>SUMIF(#REF!,"=Total de entregas realizadas até o mês de apuração (acumulado)",#REF!)/SUMIF(#REF!,"=Total de entregas previstas até o final do projeto",#REF!)</f>
        <v>#REF!</v>
      </c>
      <c r="AP35" s="91" t="e">
        <f>SUMIF(#REF!,"=Total de entregas realizadas até o mês de apuração (acumulado)",#REF!)/SUMIF(#REF!,"=Total de entregas previstas até o final do projeto",#REF!)</f>
        <v>#REF!</v>
      </c>
      <c r="AQ35" s="91" t="e">
        <f>SUMIF(#REF!,"=Total de entregas realizadas até o mês de apuração (acumulado)",#REF!)/SUMIF(#REF!,"=Total de entregas previstas até o final do projeto",#REF!)</f>
        <v>#REF!</v>
      </c>
      <c r="AR35" s="91" t="e">
        <f>SUMIF(#REF!,"=Total de entregas realizadas até o mês de apuração (acumulado)",#REF!)/SUMIF(#REF!,"=Total de entregas previstas até o final do projeto",#REF!)</f>
        <v>#REF!</v>
      </c>
      <c r="AS35" s="91" t="e">
        <f>SUMIF(#REF!,"=Total de entregas realizadas até o mês de apuração (acumulado)",#REF!)/SUMIF(#REF!,"=Total de entregas previstas até o final do projeto",#REF!)</f>
        <v>#REF!</v>
      </c>
      <c r="AT35" s="91" t="e">
        <f>SUMIF(#REF!,"=Total de entregas realizadas até o mês de apuração (acumulado)",#REF!)/SUMIF(#REF!,"=Total de entregas previstas até o final do projeto",#REF!)</f>
        <v>#REF!</v>
      </c>
      <c r="AU35" s="91" t="e">
        <f>SUMIF(#REF!,"=Total de entregas realizadas até o mês de apuração (acumulado)",#REF!)/SUMIF(#REF!,"=Total de entregas previstas até o final do projeto",#REF!)</f>
        <v>#REF!</v>
      </c>
      <c r="AV35" s="91" t="e">
        <f>SUMIF(#REF!,"=Total de entregas realizadas até o mês de apuração (acumulado)",#REF!)/SUMIF(#REF!,"=Total de entregas previstas até o final do projeto",#REF!)</f>
        <v>#REF!</v>
      </c>
      <c r="AW35" s="91" t="e">
        <f>SUMIF(#REF!,"=Total de entregas realizadas até o mês de apuração (acumulado)",#REF!)/SUMIF(#REF!,"=Total de entregas previstas até o final do projeto",#REF!)</f>
        <v>#REF!</v>
      </c>
      <c r="AX35" s="91" t="e">
        <f>SUMIF(#REF!,"=Total de entregas realizadas até o mês de apuração (acumulado)",#REF!)/SUMIF(#REF!,"=Total de entregas previstas até o final do projeto",#REF!)</f>
        <v>#REF!</v>
      </c>
      <c r="AY35" s="91" t="e">
        <f>SUMIF(#REF!,"=Total de entregas realizadas até o mês de apuração (acumulado)",#REF!)/SUMIF(#REF!,"=Total de entregas previstas até o final do projeto",#REF!)</f>
        <v>#REF!</v>
      </c>
      <c r="AZ35" s="91" t="e">
        <f>SUMIF(#REF!,"=Total de entregas realizadas até o mês de apuração (acumulado)",#REF!)/SUMIF(#REF!,"=Total de entregas previstas até o final do projeto",#REF!)</f>
        <v>#REF!</v>
      </c>
      <c r="BA35" s="91" t="e">
        <f>SUMIF(#REF!,"=Total de entregas realizadas até o mês de apuração (acumulado)",#REF!)/SUMIF(#REF!,"=Total de entregas previstas até o final do projeto",#REF!)</f>
        <v>#REF!</v>
      </c>
      <c r="BB35" s="91" t="e">
        <f>SUMIF(#REF!,"=Total de entregas realizadas até o mês de apuração (acumulado)",#REF!)/SUMIF(#REF!,"=Total de entregas previstas até o final do projeto",#REF!)</f>
        <v>#REF!</v>
      </c>
      <c r="BC35" s="91" t="e">
        <f>SUMIF(#REF!,"=Total de entregas realizadas até o mês de apuração (acumulado)",#REF!)/SUMIF(#REF!,"=Total de entregas previstas até o final do projeto",#REF!)</f>
        <v>#REF!</v>
      </c>
      <c r="BD35" s="91" t="e">
        <f>SUMIF(#REF!,"=Total de entregas realizadas até o mês de apuração (acumulado)",#REF!)/SUMIF(#REF!,"=Total de entregas previstas até o final do projeto",#REF!)</f>
        <v>#REF!</v>
      </c>
      <c r="BE35" s="91" t="e">
        <f>SUMIF(#REF!,"=Total de entregas realizadas até o mês de apuração (acumulado)",#REF!)/SUMIF(#REF!,"=Total de entregas previstas até o final do projeto",#REF!)</f>
        <v>#REF!</v>
      </c>
      <c r="BF35" s="91" t="e">
        <f>SUMIF(#REF!,"=Total de entregas realizadas até o mês de apuração (acumulado)",#REF!)/SUMIF(#REF!,"=Total de entregas previstas até o final do projeto",#REF!)</f>
        <v>#REF!</v>
      </c>
      <c r="BG35" s="91" t="e">
        <f>SUMIF(#REF!,"=Total de entregas realizadas até o mês de apuração (acumulado)",#REF!)/SUMIF(#REF!,"=Total de entregas previstas até o final do projeto",#REF!)</f>
        <v>#REF!</v>
      </c>
      <c r="BH35" s="91" t="e">
        <f>SUMIF(#REF!,"=Total de entregas realizadas até o mês de apuração (acumulado)",#REF!)/SUMIF(#REF!,"=Total de entregas previstas até o final do projeto",#REF!)</f>
        <v>#REF!</v>
      </c>
      <c r="BI35" s="91" t="e">
        <f>SUMIF(#REF!,"=Total de entregas realizadas até o mês de apuração (acumulado)",#REF!)/SUMIF(#REF!,"=Total de entregas previstas até o final do projeto",#REF!)</f>
        <v>#REF!</v>
      </c>
      <c r="BJ35" s="103" t="e">
        <f t="shared" si="1"/>
        <v>#REF!</v>
      </c>
      <c r="BK35" s="103" t="str">
        <f t="shared" si="6"/>
        <v/>
      </c>
      <c r="BL35" s="92"/>
      <c r="BN35" s="93"/>
    </row>
    <row r="36" spans="1:66" s="94" customFormat="1" ht="45" x14ac:dyDescent="0.25">
      <c r="B36" s="95" t="s">
        <v>361</v>
      </c>
      <c r="C36" s="95" t="s">
        <v>332</v>
      </c>
      <c r="D36" s="96" t="s">
        <v>3</v>
      </c>
      <c r="E36" s="97" t="s">
        <v>336</v>
      </c>
      <c r="F36" s="97"/>
      <c r="G36" s="97"/>
      <c r="H36" s="98"/>
      <c r="I36" s="99"/>
      <c r="J36" s="98"/>
      <c r="K36" s="99"/>
      <c r="L36" s="100"/>
      <c r="M36" s="100">
        <v>0.75</v>
      </c>
      <c r="N36" s="100">
        <v>0.75</v>
      </c>
      <c r="O36" s="100">
        <v>0.75</v>
      </c>
      <c r="P36" s="100">
        <v>0.75</v>
      </c>
      <c r="Q36" s="100">
        <v>0.75</v>
      </c>
      <c r="R36" s="100">
        <v>0.75</v>
      </c>
      <c r="S36" s="100">
        <v>0.75</v>
      </c>
      <c r="T36" s="100">
        <v>0.75</v>
      </c>
      <c r="U36" s="100">
        <v>0.75</v>
      </c>
      <c r="V36" s="100">
        <v>0.75</v>
      </c>
      <c r="W36" s="100">
        <v>0.75</v>
      </c>
      <c r="X36" s="100">
        <v>0.75</v>
      </c>
      <c r="Y36" s="100">
        <v>0.75</v>
      </c>
      <c r="Z36" s="100">
        <v>0.75</v>
      </c>
      <c r="AA36" s="100">
        <v>0.75</v>
      </c>
      <c r="AB36" s="100">
        <v>0.75</v>
      </c>
      <c r="AC36" s="100">
        <v>0.75</v>
      </c>
      <c r="AD36" s="100">
        <v>0.75</v>
      </c>
      <c r="AE36" s="100">
        <v>0.75</v>
      </c>
      <c r="AF36" s="100">
        <v>0.75</v>
      </c>
      <c r="AG36" s="100">
        <v>0.75</v>
      </c>
      <c r="AH36" s="100">
        <v>0.75</v>
      </c>
      <c r="AI36" s="100">
        <v>0.75</v>
      </c>
      <c r="AJ36" s="100">
        <v>0.75</v>
      </c>
      <c r="AK36" s="65" t="e">
        <f t="shared" si="0"/>
        <v>#REF!</v>
      </c>
      <c r="AL36" s="100" t="e">
        <f>SUMIF(#REF!,"=Total de entregas realizadas no prazo (dia) até o mês de apuração (acumulado)",#REF!)/SUMIF(#REF!,"=Total de entregas realizadas até o mês de apuração (acumulado)",#REF!)</f>
        <v>#REF!</v>
      </c>
      <c r="AM36" s="100" t="e">
        <f>SUMIF(#REF!,"=Total de entregas realizadas no prazo (dia) até o mês de apuração (acumulado)",#REF!)/SUMIF(#REF!,"=Total de entregas realizadas até o mês de apuração (acumulado)",#REF!)</f>
        <v>#REF!</v>
      </c>
      <c r="AN36" s="100" t="e">
        <f>SUMIF(#REF!,"=Total de entregas realizadas no prazo (dia) até o mês de apuração (acumulado)",#REF!)/SUMIF(#REF!,"=Total de entregas realizadas até o mês de apuração (acumulado)",#REF!)</f>
        <v>#REF!</v>
      </c>
      <c r="AO36" s="100" t="e">
        <f>SUMIF(#REF!,"=Total de entregas realizadas no prazo (dia) até o mês de apuração (acumulado)",#REF!)/SUMIF(#REF!,"=Total de entregas realizadas até o mês de apuração (acumulado)",#REF!)</f>
        <v>#REF!</v>
      </c>
      <c r="AP36" s="100" t="e">
        <f>SUMIF(#REF!,"=Total de entregas realizadas no prazo (dia) até o mês de apuração (acumulado)",#REF!)/SUMIF(#REF!,"=Total de entregas realizadas até o mês de apuração (acumulado)",#REF!)</f>
        <v>#REF!</v>
      </c>
      <c r="AQ36" s="100" t="e">
        <f>SUMIF(#REF!,"=Total de entregas realizadas no prazo (dia) até o mês de apuração (acumulado)",#REF!)/SUMIF(#REF!,"=Total de entregas realizadas até o mês de apuração (acumulado)",#REF!)</f>
        <v>#REF!</v>
      </c>
      <c r="AR36" s="100" t="e">
        <f>SUMIF(#REF!,"=Total de entregas realizadas no prazo (dia) até o mês de apuração (acumulado)",#REF!)/SUMIF(#REF!,"=Total de entregas realizadas até o mês de apuração (acumulado)",#REF!)</f>
        <v>#REF!</v>
      </c>
      <c r="AS36" s="100" t="e">
        <f>SUMIF(#REF!,"=Total de entregas realizadas no prazo (dia) até o mês de apuração (acumulado)",#REF!)/SUMIF(#REF!,"=Total de entregas realizadas até o mês de apuração (acumulado)",#REF!)</f>
        <v>#REF!</v>
      </c>
      <c r="AT36" s="100" t="e">
        <f>SUMIF(#REF!,"=Total de entregas realizadas no prazo (dia) até o mês de apuração (acumulado)",#REF!)/SUMIF(#REF!,"=Total de entregas realizadas até o mês de apuração (acumulado)",#REF!)</f>
        <v>#REF!</v>
      </c>
      <c r="AU36" s="100" t="e">
        <f>SUMIF(#REF!,"=Total de entregas realizadas no prazo (dia) até o mês de apuração (acumulado)",#REF!)/SUMIF(#REF!,"=Total de entregas realizadas até o mês de apuração (acumulado)",#REF!)</f>
        <v>#REF!</v>
      </c>
      <c r="AV36" s="100" t="e">
        <f>SUMIF(#REF!,"=Total de entregas realizadas no prazo (dia) até o mês de apuração (acumulado)",#REF!)/SUMIF(#REF!,"=Total de entregas realizadas até o mês de apuração (acumulado)",#REF!)</f>
        <v>#REF!</v>
      </c>
      <c r="AW36" s="100" t="e">
        <f>SUMIF(#REF!,"=Total de entregas realizadas no prazo (dia) até o mês de apuração (acumulado)",#REF!)/SUMIF(#REF!,"=Total de entregas realizadas até o mês de apuração (acumulado)",#REF!)</f>
        <v>#REF!</v>
      </c>
      <c r="AX36" s="100" t="e">
        <f>SUMIF(#REF!,"=Total de entregas realizadas no prazo (dia) até o mês de apuração (acumulado)",#REF!)/SUMIF(#REF!,"=Total de entregas realizadas até o mês de apuração (acumulado)",#REF!)</f>
        <v>#REF!</v>
      </c>
      <c r="AY36" s="100" t="e">
        <f>SUMIF(#REF!,"=Total de entregas realizadas no prazo (dia) até o mês de apuração (acumulado)",#REF!)/SUMIF(#REF!,"=Total de entregas realizadas até o mês de apuração (acumulado)",#REF!)</f>
        <v>#REF!</v>
      </c>
      <c r="AZ36" s="100" t="e">
        <f>SUMIF(#REF!,"=Total de entregas realizadas no prazo (dia) até o mês de apuração (acumulado)",#REF!)/SUMIF(#REF!,"=Total de entregas realizadas até o mês de apuração (acumulado)",#REF!)</f>
        <v>#REF!</v>
      </c>
      <c r="BA36" s="100" t="e">
        <f>SUMIF(#REF!,"=Total de entregas realizadas no prazo (dia) até o mês de apuração (acumulado)",#REF!)/SUMIF(#REF!,"=Total de entregas realizadas até o mês de apuração (acumulado)",#REF!)</f>
        <v>#REF!</v>
      </c>
      <c r="BB36" s="100" t="e">
        <f>SUMIF(#REF!,"=Total de entregas realizadas no prazo (dia) até o mês de apuração (acumulado)",#REF!)/SUMIF(#REF!,"=Total de entregas realizadas até o mês de apuração (acumulado)",#REF!)</f>
        <v>#REF!</v>
      </c>
      <c r="BC36" s="100" t="e">
        <f>SUMIF(#REF!,"=Total de entregas realizadas no prazo (dia) até o mês de apuração (acumulado)",#REF!)/SUMIF(#REF!,"=Total de entregas realizadas até o mês de apuração (acumulado)",#REF!)</f>
        <v>#REF!</v>
      </c>
      <c r="BD36" s="100" t="e">
        <f>SUMIF(#REF!,"=Total de entregas realizadas no prazo (dia) até o mês de apuração (acumulado)",#REF!)/SUMIF(#REF!,"=Total de entregas realizadas até o mês de apuração (acumulado)",#REF!)</f>
        <v>#REF!</v>
      </c>
      <c r="BE36" s="100" t="e">
        <f>SUMIF(#REF!,"=Total de entregas realizadas no prazo (dia) até o mês de apuração (acumulado)",#REF!)/SUMIF(#REF!,"=Total de entregas realizadas até o mês de apuração (acumulado)",#REF!)</f>
        <v>#REF!</v>
      </c>
      <c r="BF36" s="100" t="e">
        <f>SUMIF(#REF!,"=Total de entregas realizadas no prazo (dia) até o mês de apuração (acumulado)",#REF!)/SUMIF(#REF!,"=Total de entregas realizadas até o mês de apuração (acumulado)",#REF!)</f>
        <v>#REF!</v>
      </c>
      <c r="BG36" s="100" t="e">
        <f>SUMIF(#REF!,"=Total de entregas realizadas no prazo (dia) até o mês de apuração (acumulado)",#REF!)/SUMIF(#REF!,"=Total de entregas realizadas até o mês de apuração (acumulado)",#REF!)</f>
        <v>#REF!</v>
      </c>
      <c r="BH36" s="100" t="e">
        <f>SUMIF(#REF!,"=Total de entregas realizadas no prazo (dia) até o mês de apuração (acumulado)",#REF!)/SUMIF(#REF!,"=Total de entregas realizadas até o mês de apuração (acumulado)",#REF!)</f>
        <v>#REF!</v>
      </c>
      <c r="BI36" s="100" t="e">
        <f>SUMIF(#REF!,"=Total de entregas realizadas no prazo (dia) até o mês de apuração (acumulado)",#REF!)/SUMIF(#REF!,"=Total de entregas realizadas até o mês de apuração (acumulado)",#REF!)</f>
        <v>#REF!</v>
      </c>
      <c r="BJ36" s="103" t="e">
        <f t="shared" si="1"/>
        <v>#REF!</v>
      </c>
      <c r="BK36" s="103" t="str">
        <f t="shared" si="6"/>
        <v/>
      </c>
      <c r="BL36" s="101"/>
      <c r="BN36" s="102"/>
    </row>
  </sheetData>
  <autoFilter ref="A2:BK36" xr:uid="{B0D2EA97-732A-4021-80BF-88B5CABD9BFC}"/>
  <mergeCells count="2">
    <mergeCell ref="M1:AK1"/>
    <mergeCell ref="AL1:BJ1"/>
  </mergeCells>
  <pageMargins left="0.511811024" right="0.511811024" top="0.78740157499999996" bottom="0.78740157499999996" header="0.31496062000000002" footer="0.31496062000000002"/>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70B0555F082DC4F91E39E2ED3D75557" ma:contentTypeVersion="9" ma:contentTypeDescription="Crie um novo documento." ma:contentTypeScope="" ma:versionID="de3dcf6e6cd08bf0cb1acfcf4a4edd1c">
  <xsd:schema xmlns:xsd="http://www.w3.org/2001/XMLSchema" xmlns:xs="http://www.w3.org/2001/XMLSchema" xmlns:p="http://schemas.microsoft.com/office/2006/metadata/properties" xmlns:ns2="d15d243f-cb5c-4c0b-a76b-761dd91b99d3" xmlns:ns3="46aa68b8-5d41-4032-a3c6-8860da268c8d" targetNamespace="http://schemas.microsoft.com/office/2006/metadata/properties" ma:root="true" ma:fieldsID="57656165f8e26a7d6a7821e82287431f" ns2:_="" ns3:_="">
    <xsd:import namespace="d15d243f-cb5c-4c0b-a76b-761dd91b99d3"/>
    <xsd:import namespace="46aa68b8-5d41-4032-a3c6-8860da268c8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5d243f-cb5c-4c0b-a76b-761dd91b99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aa68b8-5d41-4032-a3c6-8860da268c8d"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6aa68b8-5d41-4032-a3c6-8860da268c8d">
      <UserInfo>
        <DisplayName>LUCAS VICTOR  DA SILVA</DisplayName>
        <AccountId>82</AccountId>
        <AccountType/>
      </UserInfo>
      <UserInfo>
        <DisplayName>VIVIANE CRISTINA DE OLIVEIRA</DisplayName>
        <AccountId>76</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85A15C0-DE0D-4FB1-BF61-6F2BB79DE63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15d243f-cb5c-4c0b-a76b-761dd91b99d3"/>
    <ds:schemaRef ds:uri="46aa68b8-5d41-4032-a3c6-8860da268c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FF4E7D7-72AC-4A5C-81F3-F0B605842F6D}">
  <ds:schemaRefs>
    <ds:schemaRef ds:uri="d15d243f-cb5c-4c0b-a76b-761dd91b99d3"/>
    <ds:schemaRef ds:uri="http://purl.org/dc/elements/1.1/"/>
    <ds:schemaRef ds:uri="http://www.w3.org/XML/1998/namespace"/>
    <ds:schemaRef ds:uri="http://schemas.openxmlformats.org/package/2006/metadata/core-properties"/>
    <ds:schemaRef ds:uri="http://schemas.microsoft.com/office/2006/documentManagement/types"/>
    <ds:schemaRef ds:uri="http://purl.org/dc/dcmitype/"/>
    <ds:schemaRef ds:uri="http://purl.org/dc/terms/"/>
    <ds:schemaRef ds:uri="http://schemas.microsoft.com/office/infopath/2007/PartnerControls"/>
    <ds:schemaRef ds:uri="46aa68b8-5d41-4032-a3c6-8860da268c8d"/>
    <ds:schemaRef ds:uri="http://schemas.microsoft.com/office/2006/metadata/properties"/>
  </ds:schemaRefs>
</ds:datastoreItem>
</file>

<file path=customXml/itemProps3.xml><?xml version="1.0" encoding="utf-8"?>
<ds:datastoreItem xmlns:ds="http://schemas.openxmlformats.org/officeDocument/2006/customXml" ds:itemID="{EA3FE8A1-ACFC-4DD5-8F84-73492167E31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Startups</vt:lpstr>
      <vt:lpstr>KPIs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Luanna Roncaratti</dc:creator>
  <cp:keywords/>
  <dc:description/>
  <cp:lastModifiedBy>Patrick Borges</cp:lastModifiedBy>
  <cp:revision/>
  <dcterms:created xsi:type="dcterms:W3CDTF">2021-01-20T17:28:01Z</dcterms:created>
  <dcterms:modified xsi:type="dcterms:W3CDTF">2021-06-16T22:43:32Z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0x010100370B0555F082DC4F91E39E2ED3D75557</vt:lpwstr>
  </property>
</Properties>
</file>